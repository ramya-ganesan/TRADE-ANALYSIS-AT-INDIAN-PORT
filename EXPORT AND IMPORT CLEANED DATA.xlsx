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IS RAMYA\mini project\"/>
    </mc:Choice>
  </mc:AlternateContent>
  <xr:revisionPtr revIDLastSave="0" documentId="13_ncr:1_{5EF8FC7B-C493-4C84-BB37-C99A3EFE749A}" xr6:coauthVersionLast="47" xr6:coauthVersionMax="47" xr10:uidLastSave="{00000000-0000-0000-0000-000000000000}"/>
  <bookViews>
    <workbookView xWindow="-108" yWindow="-108" windowWidth="23256" windowHeight="13896" activeTab="4" xr2:uid="{E19089CC-A665-447E-9503-893C8EA95DC6}"/>
  </bookViews>
  <sheets>
    <sheet name="EXPORT" sheetId="1" r:id="rId1"/>
    <sheet name="IMPORT" sheetId="2" r:id="rId2"/>
    <sheet name="EXPORT PQ" sheetId="3" r:id="rId3"/>
    <sheet name="IMPORT PQ" sheetId="5" r:id="rId4"/>
    <sheet name="TRADE SUMMARY" sheetId="6" r:id="rId5"/>
  </sheets>
  <definedNames>
    <definedName name="ExternalData_1" localSheetId="2" hidden="1">'EXPORT PQ'!$A$1:$L$501</definedName>
    <definedName name="ExternalData_3" localSheetId="3" hidden="1">'IMPORT PQ'!$A$1:$L$501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5" l="1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2" i="5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2" i="3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6" i="5"/>
  <c r="M7" i="5"/>
  <c r="M8" i="5"/>
  <c r="M9" i="5"/>
  <c r="M10" i="5"/>
  <c r="M11" i="5"/>
  <c r="M12" i="5"/>
  <c r="M13" i="5"/>
  <c r="M14" i="5"/>
  <c r="M3" i="5"/>
  <c r="M4" i="5"/>
  <c r="M5" i="5"/>
  <c r="M2" i="5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EF8FEC-A36E-4A51-9AB5-7283F3390192}" keepAlive="1" name="Query - EXPORT" description="Connection to the 'EXPORT' query in the workbook." type="5" refreshedVersion="8" background="1" saveData="1">
    <dbPr connection="Provider=Microsoft.Mashup.OleDb.1;Data Source=$Workbook$;Location=EXPORT;Extended Properties=&quot;&quot;" command="SELECT * FROM [EXPORT]"/>
  </connection>
  <connection id="2" xr16:uid="{F26F2F83-29DA-46DD-BD31-CCE60FF74DE6}" keepAlive="1" name="Query - IMPORT" description="Connection to the 'IMPORT' query in the workbook." type="5" refreshedVersion="8" background="1" saveData="1">
    <dbPr connection="Provider=Microsoft.Mashup.OleDb.1;Data Source=$Workbook$;Location=IMPORT;Extended Properties=&quot;&quot;" command="SELECT * FROM [IMPORT]"/>
  </connection>
</connections>
</file>

<file path=xl/sharedStrings.xml><?xml version="1.0" encoding="utf-8"?>
<sst xmlns="http://schemas.openxmlformats.org/spreadsheetml/2006/main" count="12126" uniqueCount="622">
  <si>
    <t>State Name</t>
  </si>
  <si>
    <t>State Code</t>
  </si>
  <si>
    <t>Port to Export</t>
  </si>
  <si>
    <t>Export Country</t>
  </si>
  <si>
    <t>Principle Commodity Code</t>
  </si>
  <si>
    <t>Commodity Name</t>
  </si>
  <si>
    <t>Quantity Unit Measurement</t>
  </si>
  <si>
    <t>Value of commodity quantity</t>
  </si>
  <si>
    <t>Value of commodity quantity in USD</t>
  </si>
  <si>
    <t>Value of commodity quantity in INR</t>
  </si>
  <si>
    <t>Month</t>
  </si>
  <si>
    <t>Year</t>
  </si>
  <si>
    <t>Rajasthan</t>
  </si>
  <si>
    <t>Icd Thar Dry Port, Jodhpur</t>
  </si>
  <si>
    <t>Denmark</t>
  </si>
  <si>
    <t>L4</t>
  </si>
  <si>
    <t>Iron &amp; Steel</t>
  </si>
  <si>
    <t>None</t>
  </si>
  <si>
    <t>Haryana</t>
  </si>
  <si>
    <t>Icd Garhiharsaru</t>
  </si>
  <si>
    <t>Thailand</t>
  </si>
  <si>
    <t>M3</t>
  </si>
  <si>
    <t>Auto Components</t>
  </si>
  <si>
    <t>Gujarat</t>
  </si>
  <si>
    <t>Mundra</t>
  </si>
  <si>
    <t>Turkey</t>
  </si>
  <si>
    <t>M8</t>
  </si>
  <si>
    <t>Medical Instruments</t>
  </si>
  <si>
    <t>Karnataka</t>
  </si>
  <si>
    <t>Bangalore Airport</t>
  </si>
  <si>
    <t>France</t>
  </si>
  <si>
    <t>P1</t>
  </si>
  <si>
    <t>Consumer Electronics</t>
  </si>
  <si>
    <t>Kerala</t>
  </si>
  <si>
    <t>Cochin Airport</t>
  </si>
  <si>
    <t>U S A</t>
  </si>
  <si>
    <t>P2</t>
  </si>
  <si>
    <t>Electronics Components</t>
  </si>
  <si>
    <t>Icd Sabarmati</t>
  </si>
  <si>
    <t>Congo DR</t>
  </si>
  <si>
    <t>R1</t>
  </si>
  <si>
    <t>Readymade Garments</t>
  </si>
  <si>
    <t>Tamil Nadu</t>
  </si>
  <si>
    <t>Chennai Sea</t>
  </si>
  <si>
    <t>Brazil</t>
  </si>
  <si>
    <t>J5</t>
  </si>
  <si>
    <t>Ceramics And Allied Products</t>
  </si>
  <si>
    <t>Delhi</t>
  </si>
  <si>
    <t>Delhi Air</t>
  </si>
  <si>
    <t>N9</t>
  </si>
  <si>
    <t>Other Construction Machinery</t>
  </si>
  <si>
    <t>Delhi (Icd)</t>
  </si>
  <si>
    <t>I7</t>
  </si>
  <si>
    <t>Residul Chemicals</t>
  </si>
  <si>
    <t>J Matadee Chennai</t>
  </si>
  <si>
    <t>Flextronics Techn Sez Sriperu</t>
  </si>
  <si>
    <t>O9</t>
  </si>
  <si>
    <t>Computer Equipment</t>
  </si>
  <si>
    <t>Maharashtra</t>
  </si>
  <si>
    <t>Nhava Sheva Sea</t>
  </si>
  <si>
    <t>Portugal</t>
  </si>
  <si>
    <t>ZZ</t>
  </si>
  <si>
    <t>Other Commodities</t>
  </si>
  <si>
    <t>Madhya Pradesh</t>
  </si>
  <si>
    <t>Sez Indore</t>
  </si>
  <si>
    <t>P9</t>
  </si>
  <si>
    <t>Textile Yarn &amp; Fabric</t>
  </si>
  <si>
    <t>Icd Irungattukottai</t>
  </si>
  <si>
    <t>Indonesia</t>
  </si>
  <si>
    <t>Sez Kandla</t>
  </si>
  <si>
    <t>Kuwait</t>
  </si>
  <si>
    <t>A9</t>
  </si>
  <si>
    <t>Tobacco Manufactured</t>
  </si>
  <si>
    <t>Punjab</t>
  </si>
  <si>
    <t>Icd Sahnewal, Grfl</t>
  </si>
  <si>
    <t>Uganda</t>
  </si>
  <si>
    <t>Oman</t>
  </si>
  <si>
    <t>Q3</t>
  </si>
  <si>
    <t>Synthetic Textiles</t>
  </si>
  <si>
    <t>Uttar Pradesh</t>
  </si>
  <si>
    <t>Nepalganj</t>
  </si>
  <si>
    <t>Nepal</t>
  </si>
  <si>
    <t>N2</t>
  </si>
  <si>
    <t>Bicycle And Parts</t>
  </si>
  <si>
    <t>Concor Icd/Mmlp Khapri Nagpur</t>
  </si>
  <si>
    <t>Benin</t>
  </si>
  <si>
    <t>N6</t>
  </si>
  <si>
    <t>Industrial Dairy Machinery</t>
  </si>
  <si>
    <t>Cfs Startrack Dadri</t>
  </si>
  <si>
    <t>South Africa</t>
  </si>
  <si>
    <t>China</t>
  </si>
  <si>
    <t>Paraguay</t>
  </si>
  <si>
    <t>N5</t>
  </si>
  <si>
    <t>Ic Engines And Parts</t>
  </si>
  <si>
    <t>Togo</t>
  </si>
  <si>
    <t>N4</t>
  </si>
  <si>
    <t>Electrical Machinery</t>
  </si>
  <si>
    <t>Icd Patli</t>
  </si>
  <si>
    <t>Sri Lanka Dsr</t>
  </si>
  <si>
    <t>N1</t>
  </si>
  <si>
    <t>Ac, Refrigeration Machinery</t>
  </si>
  <si>
    <t>Hbs Pharma Sez Private Limited</t>
  </si>
  <si>
    <t>Serbia</t>
  </si>
  <si>
    <t>I8</t>
  </si>
  <si>
    <t>Auto Tyres And Tubes</t>
  </si>
  <si>
    <t>U A E</t>
  </si>
  <si>
    <t>I9</t>
  </si>
  <si>
    <t>Other Rubber products</t>
  </si>
  <si>
    <t>Korea</t>
  </si>
  <si>
    <t>O4</t>
  </si>
  <si>
    <t>Aerospace Parts</t>
  </si>
  <si>
    <t>Chennai Air</t>
  </si>
  <si>
    <t>South Sudan</t>
  </si>
  <si>
    <t>I1</t>
  </si>
  <si>
    <t>Surgicals</t>
  </si>
  <si>
    <t>Egypt</t>
  </si>
  <si>
    <t>P8</t>
  </si>
  <si>
    <t>Cotton Textiles</t>
  </si>
  <si>
    <t>Netherland</t>
  </si>
  <si>
    <t>Icd Pithampur (Indore)</t>
  </si>
  <si>
    <t>Syria</t>
  </si>
  <si>
    <t>M2</t>
  </si>
  <si>
    <t>Non-Ferrous Metals</t>
  </si>
  <si>
    <t>N7</t>
  </si>
  <si>
    <t>ATM,Moulding Machinery</t>
  </si>
  <si>
    <t>Mumbai Air</t>
  </si>
  <si>
    <t>Bhutan</t>
  </si>
  <si>
    <t>P3</t>
  </si>
  <si>
    <t>Electronics Instruments</t>
  </si>
  <si>
    <t>Icd Dighi Pune</t>
  </si>
  <si>
    <t>Uruguay</t>
  </si>
  <si>
    <t>Italy</t>
  </si>
  <si>
    <t>West Bengal</t>
  </si>
  <si>
    <t>Kolkata Air</t>
  </si>
  <si>
    <t>Saudi Arabia</t>
  </si>
  <si>
    <t>J1</t>
  </si>
  <si>
    <t>Footwear Of Rubber</t>
  </si>
  <si>
    <t>Telangana</t>
  </si>
  <si>
    <t>Icd Hyderabad</t>
  </si>
  <si>
    <t>Mali</t>
  </si>
  <si>
    <t>M6</t>
  </si>
  <si>
    <t>Hand Cutting tools</t>
  </si>
  <si>
    <t>Malaysia</t>
  </si>
  <si>
    <t>N8</t>
  </si>
  <si>
    <t>Nuclear Boilers &amp; Reactors</t>
  </si>
  <si>
    <t>New Zealand</t>
  </si>
  <si>
    <t>J9</t>
  </si>
  <si>
    <t>Paper Products</t>
  </si>
  <si>
    <t>Hyderabad Airport</t>
  </si>
  <si>
    <t>Tanzania</t>
  </si>
  <si>
    <t>M7</t>
  </si>
  <si>
    <t>Machine Tools</t>
  </si>
  <si>
    <t>Icd Tuticorin</t>
  </si>
  <si>
    <t>Germany</t>
  </si>
  <si>
    <t>H1</t>
  </si>
  <si>
    <t>Sports Goods</t>
  </si>
  <si>
    <t>Georgia</t>
  </si>
  <si>
    <t>O1</t>
  </si>
  <si>
    <t>Other Misc. Engineering Items</t>
  </si>
  <si>
    <t>Kenya</t>
  </si>
  <si>
    <t>I5</t>
  </si>
  <si>
    <t>Cosmetics And Toiletries</t>
  </si>
  <si>
    <t>Icd Noida-Dadri</t>
  </si>
  <si>
    <t>Jordan</t>
  </si>
  <si>
    <t>Ethiopia</t>
  </si>
  <si>
    <t>Icd Kanakpura</t>
  </si>
  <si>
    <t>Icd Faridabad</t>
  </si>
  <si>
    <t>Taiwan</t>
  </si>
  <si>
    <t>Q8</t>
  </si>
  <si>
    <t>Rmg Manmade Fibres</t>
  </si>
  <si>
    <t>Sipcot Trnsprt Gongai Kondon</t>
  </si>
  <si>
    <t>Zambia</t>
  </si>
  <si>
    <t>Russia</t>
  </si>
  <si>
    <t>J6</t>
  </si>
  <si>
    <t>Glass And Glassware</t>
  </si>
  <si>
    <t>Guatemala</t>
  </si>
  <si>
    <t>Tuticorin Sea</t>
  </si>
  <si>
    <t>Maldives</t>
  </si>
  <si>
    <t>Q6</t>
  </si>
  <si>
    <t>Rmg Cotton Incl Accessories</t>
  </si>
  <si>
    <t>Mexico</t>
  </si>
  <si>
    <t>Icd Ludhiana</t>
  </si>
  <si>
    <t>Sikkim</t>
  </si>
  <si>
    <t>Sherathang (Near Nathula Pass)</t>
  </si>
  <si>
    <t>Norway</t>
  </si>
  <si>
    <t>New Caledonia</t>
  </si>
  <si>
    <t>Mozambique</t>
  </si>
  <si>
    <t>K6</t>
  </si>
  <si>
    <t>Moulded And Extruded Goods</t>
  </si>
  <si>
    <t>Cgml Dadri</t>
  </si>
  <si>
    <t>U K</t>
  </si>
  <si>
    <t>Burundi</t>
  </si>
  <si>
    <t>Acc Coimbatore</t>
  </si>
  <si>
    <t>Singapore</t>
  </si>
  <si>
    <t>Vietnam</t>
  </si>
  <si>
    <t>O3</t>
  </si>
  <si>
    <t>Pumps Of All Types</t>
  </si>
  <si>
    <t>Nicaragua</t>
  </si>
  <si>
    <t>Latvia</t>
  </si>
  <si>
    <t>Epz/Sez Surat</t>
  </si>
  <si>
    <t>Djibouti</t>
  </si>
  <si>
    <t>Kiadb Textile Sez Karnataka</t>
  </si>
  <si>
    <t>L1</t>
  </si>
  <si>
    <t>Stationry Supply</t>
  </si>
  <si>
    <t>Icd Tondiar-Pet Chennai</t>
  </si>
  <si>
    <t>Sudan</t>
  </si>
  <si>
    <t>M5</t>
  </si>
  <si>
    <t>Accumulators And Batteries</t>
  </si>
  <si>
    <t>Cote D' Ivoire</t>
  </si>
  <si>
    <t>Kolkata Sea</t>
  </si>
  <si>
    <t>Guinea Bissau</t>
  </si>
  <si>
    <t>R9</t>
  </si>
  <si>
    <t>Other Jute Manufactures</t>
  </si>
  <si>
    <t>Sez Noida</t>
  </si>
  <si>
    <t>Cochin Sea</t>
  </si>
  <si>
    <t>Australia</t>
  </si>
  <si>
    <t>Telegaon</t>
  </si>
  <si>
    <t>Qatar</t>
  </si>
  <si>
    <t>Ahmedabad Air Cargo Complex</t>
  </si>
  <si>
    <t>Honduras</t>
  </si>
  <si>
    <t>Chile</t>
  </si>
  <si>
    <t>Htpl Kilaraipur Icd</t>
  </si>
  <si>
    <t>Panama</t>
  </si>
  <si>
    <t>Ennore Sea</t>
  </si>
  <si>
    <t>Bangladesh</t>
  </si>
  <si>
    <t>Seychelles</t>
  </si>
  <si>
    <t>Delta Electronics India</t>
  </si>
  <si>
    <t>O2</t>
  </si>
  <si>
    <t>Prime Mica And Mica Products</t>
  </si>
  <si>
    <t>Colombia</t>
  </si>
  <si>
    <t>Martinique</t>
  </si>
  <si>
    <t>Romania</t>
  </si>
  <si>
    <t>Guinea</t>
  </si>
  <si>
    <t>Icd Piyala Ballagarh</t>
  </si>
  <si>
    <t>Ukraine</t>
  </si>
  <si>
    <t>Hazira Port, Surat</t>
  </si>
  <si>
    <t>Icd Bangalore</t>
  </si>
  <si>
    <t>Hong Kong</t>
  </si>
  <si>
    <t>Kattupalli Port/ Tiruvallur</t>
  </si>
  <si>
    <t>F9</t>
  </si>
  <si>
    <t>Leather Goods</t>
  </si>
  <si>
    <t>Canada</t>
  </si>
  <si>
    <t>Lithuania</t>
  </si>
  <si>
    <t>Lebanon</t>
  </si>
  <si>
    <t>D5</t>
  </si>
  <si>
    <t>Misc Processed Items</t>
  </si>
  <si>
    <t>Icd Rewari</t>
  </si>
  <si>
    <t>Czech</t>
  </si>
  <si>
    <t>K4</t>
  </si>
  <si>
    <t>Optical Items</t>
  </si>
  <si>
    <t>Icd Karur</t>
  </si>
  <si>
    <t>Japan</t>
  </si>
  <si>
    <t>Venezuela</t>
  </si>
  <si>
    <t>Costa Rica</t>
  </si>
  <si>
    <t>Icd Sonipat</t>
  </si>
  <si>
    <t>Chennai Epz</t>
  </si>
  <si>
    <t>Jamaica</t>
  </si>
  <si>
    <t>Ireland</t>
  </si>
  <si>
    <t>P4</t>
  </si>
  <si>
    <t>Telecom Instruments</t>
  </si>
  <si>
    <t>Mauritania</t>
  </si>
  <si>
    <t>Nigeria</t>
  </si>
  <si>
    <t>Slovenia</t>
  </si>
  <si>
    <t>Belgium</t>
  </si>
  <si>
    <t>Mahindra City Auto Anci Sez Tn</t>
  </si>
  <si>
    <t>Switzerland</t>
  </si>
  <si>
    <t>R7</t>
  </si>
  <si>
    <t>Jute Hessian</t>
  </si>
  <si>
    <t>Bosnia-Hrzgovin</t>
  </si>
  <si>
    <t>Somalia</t>
  </si>
  <si>
    <t>Zimbabwe</t>
  </si>
  <si>
    <t>Surat Apparel Park Sez</t>
  </si>
  <si>
    <t>Midc Phaltan Satara</t>
  </si>
  <si>
    <t>G2</t>
  </si>
  <si>
    <t>Footwear Of Leather</t>
  </si>
  <si>
    <t>Andhra Pradesh</t>
  </si>
  <si>
    <t>Apache Footware Nellore</t>
  </si>
  <si>
    <t>Philippines</t>
  </si>
  <si>
    <t>S1</t>
  </si>
  <si>
    <t>Handcrafts</t>
  </si>
  <si>
    <t>Slovak Rep</t>
  </si>
  <si>
    <t>Papua N Gna</t>
  </si>
  <si>
    <t>K1</t>
  </si>
  <si>
    <t>Plywood And Allied Products</t>
  </si>
  <si>
    <t>R3</t>
  </si>
  <si>
    <t>Handloom Products</t>
  </si>
  <si>
    <t>Nautanwa (Sonauli)</t>
  </si>
  <si>
    <t>Icd Borkhedi</t>
  </si>
  <si>
    <t>Bulgaria</t>
  </si>
  <si>
    <t>Mauritius</t>
  </si>
  <si>
    <t>Arshiya Intl. Ftwz-Sez, Raigad</t>
  </si>
  <si>
    <t>Congo PR</t>
  </si>
  <si>
    <t>Icd Modinagar</t>
  </si>
  <si>
    <t>Fiji Is</t>
  </si>
  <si>
    <t>Spain</t>
  </si>
  <si>
    <t>Icd Vadodara/Baroda</t>
  </si>
  <si>
    <t>El Salvador</t>
  </si>
  <si>
    <t>Icd Dhandari Kalan, Pswc</t>
  </si>
  <si>
    <t>Q7</t>
  </si>
  <si>
    <t>Rmg Silk</t>
  </si>
  <si>
    <t>Q9</t>
  </si>
  <si>
    <t>Rmg Wool</t>
  </si>
  <si>
    <t>Aruba</t>
  </si>
  <si>
    <t>Sweden</t>
  </si>
  <si>
    <t>Reunion</t>
  </si>
  <si>
    <t>Dpcc Mumbai</t>
  </si>
  <si>
    <t>G5</t>
  </si>
  <si>
    <t>Precious Stones</t>
  </si>
  <si>
    <t>O6</t>
  </si>
  <si>
    <t>Railway Equipment</t>
  </si>
  <si>
    <t>Seepz</t>
  </si>
  <si>
    <t>Monaco</t>
  </si>
  <si>
    <t>Newmangalore Sea</t>
  </si>
  <si>
    <t>Cyprus</t>
  </si>
  <si>
    <t>Icd Chowpayal</t>
  </si>
  <si>
    <t>Belarus</t>
  </si>
  <si>
    <t>Sez Cochin</t>
  </si>
  <si>
    <t>Austria</t>
  </si>
  <si>
    <t>N3</t>
  </si>
  <si>
    <t>Cranes &amp; Lifts</t>
  </si>
  <si>
    <t>Israel</t>
  </si>
  <si>
    <t>Kazakhstan</t>
  </si>
  <si>
    <t>Riico Sez-Ii Sitapura</t>
  </si>
  <si>
    <t>Uttarakhand</t>
  </si>
  <si>
    <t>Dharchula</t>
  </si>
  <si>
    <t>Algeria</t>
  </si>
  <si>
    <t>Icd Jodhpur</t>
  </si>
  <si>
    <t>Finland</t>
  </si>
  <si>
    <t>Angola</t>
  </si>
  <si>
    <t>Falta Epz</t>
  </si>
  <si>
    <t>Icd Nagpur</t>
  </si>
  <si>
    <t>Yemen</t>
  </si>
  <si>
    <t>Myanmar</t>
  </si>
  <si>
    <t>Antigua</t>
  </si>
  <si>
    <t>Baharain Is</t>
  </si>
  <si>
    <t>L6</t>
  </si>
  <si>
    <t>Copper And Prdcts Made Of Copr</t>
  </si>
  <si>
    <t>Icd Loni</t>
  </si>
  <si>
    <t>L2</t>
  </si>
  <si>
    <t>Other Plastic Items</t>
  </si>
  <si>
    <t>Mega It Sez Gidc Gandhinagar</t>
  </si>
  <si>
    <t>Uzbekistan</t>
  </si>
  <si>
    <t>Icd Rajsico</t>
  </si>
  <si>
    <t>Icd Hosur</t>
  </si>
  <si>
    <t>Rwanda</t>
  </si>
  <si>
    <t>Peru</t>
  </si>
  <si>
    <t>Kiadb Aerospace Sez,Bangalore</t>
  </si>
  <si>
    <t>J7</t>
  </si>
  <si>
    <t>Books, Publications And Prntng</t>
  </si>
  <si>
    <t>Icd Chettipalayam</t>
  </si>
  <si>
    <t>Poland</t>
  </si>
  <si>
    <t>Cfs Albatross/Icd Dadri</t>
  </si>
  <si>
    <t>Sipct Ele Hw Hite Sez Oragadam</t>
  </si>
  <si>
    <t>Trinidad</t>
  </si>
  <si>
    <t>Morocco</t>
  </si>
  <si>
    <t>Cameroon</t>
  </si>
  <si>
    <t>Q2</t>
  </si>
  <si>
    <t>Silk Textiles</t>
  </si>
  <si>
    <t>L3</t>
  </si>
  <si>
    <t>Iron And Steel</t>
  </si>
  <si>
    <t>Ton</t>
  </si>
  <si>
    <t>C7</t>
  </si>
  <si>
    <t>Fresh Fruits</t>
  </si>
  <si>
    <t>K9</t>
  </si>
  <si>
    <t>Plastic Products</t>
  </si>
  <si>
    <t>Kgs</t>
  </si>
  <si>
    <t>K7</t>
  </si>
  <si>
    <t>Packaging Materials</t>
  </si>
  <si>
    <t>A6</t>
  </si>
  <si>
    <t>Other Cereals</t>
  </si>
  <si>
    <t>L5</t>
  </si>
  <si>
    <t>Aluminium Products</t>
  </si>
  <si>
    <t>Mahindra World City (Jaipur)</t>
  </si>
  <si>
    <t>A7</t>
  </si>
  <si>
    <t>Pulses</t>
  </si>
  <si>
    <t>I4</t>
  </si>
  <si>
    <t>Other Miscellaenious Chemicals</t>
  </si>
  <si>
    <t>Pakistan Ir</t>
  </si>
  <si>
    <t>P7</t>
  </si>
  <si>
    <t>Cotton Yarn</t>
  </si>
  <si>
    <t>Senegal</t>
  </si>
  <si>
    <t>Panitanki</t>
  </si>
  <si>
    <t>F1</t>
  </si>
  <si>
    <t>Coal &amp; Coke</t>
  </si>
  <si>
    <t>Icd Thimmapur (Cmtl)/Ap</t>
  </si>
  <si>
    <t>D2</t>
  </si>
  <si>
    <t>Cereal Preparations</t>
  </si>
  <si>
    <t>Icd Tumb</t>
  </si>
  <si>
    <t>R8</t>
  </si>
  <si>
    <t>Floor Cvrng Of Jute</t>
  </si>
  <si>
    <t>Sqm</t>
  </si>
  <si>
    <t>O8</t>
  </si>
  <si>
    <t>Two And Three Wheelers</t>
  </si>
  <si>
    <t>Nos</t>
  </si>
  <si>
    <t>Ghana</t>
  </si>
  <si>
    <t>O5</t>
  </si>
  <si>
    <t>Motor Vehicle</t>
  </si>
  <si>
    <t>Sikka</t>
  </si>
  <si>
    <t>S6</t>
  </si>
  <si>
    <t>Petroleum Products</t>
  </si>
  <si>
    <t>Jaigaon</t>
  </si>
  <si>
    <t>A4</t>
  </si>
  <si>
    <t>Rice</t>
  </si>
  <si>
    <t>D7</t>
  </si>
  <si>
    <t>Buffalo Meat</t>
  </si>
  <si>
    <t>Appiic Multi Prod Sez Vizag Dc</t>
  </si>
  <si>
    <t>B8</t>
  </si>
  <si>
    <t>Vegetable Oils</t>
  </si>
  <si>
    <t>E6</t>
  </si>
  <si>
    <t>Alcoholic Beverages</t>
  </si>
  <si>
    <t>Ltr</t>
  </si>
  <si>
    <t>Icd Kathuwas Alwar</t>
  </si>
  <si>
    <t>Libya</t>
  </si>
  <si>
    <t>Bihar</t>
  </si>
  <si>
    <t>Bhithamore</t>
  </si>
  <si>
    <t>C8</t>
  </si>
  <si>
    <t>Fresh Vegetables</t>
  </si>
  <si>
    <t>Gabon</t>
  </si>
  <si>
    <t>M1</t>
  </si>
  <si>
    <t>Zinc Products</t>
  </si>
  <si>
    <t>Sez Jamnagar (Reliance)</t>
  </si>
  <si>
    <t>K8</t>
  </si>
  <si>
    <t>Plastic Raw Materials</t>
  </si>
  <si>
    <t>Parri Infra Co Pvt Ltd</t>
  </si>
  <si>
    <t>C4</t>
  </si>
  <si>
    <t>Sugar</t>
  </si>
  <si>
    <t>Jaipur A.C.</t>
  </si>
  <si>
    <t>B6</t>
  </si>
  <si>
    <t>Groundnut</t>
  </si>
  <si>
    <t>Magdalla Port Sea</t>
  </si>
  <si>
    <t>Vadinar</t>
  </si>
  <si>
    <t>Kandla Sea</t>
  </si>
  <si>
    <t>Iran</t>
  </si>
  <si>
    <t>A3</t>
  </si>
  <si>
    <t>Rice -Basmoti</t>
  </si>
  <si>
    <t>Equtl Guinea</t>
  </si>
  <si>
    <t>I2</t>
  </si>
  <si>
    <t>Inorganic Chemicals</t>
  </si>
  <si>
    <t>H8</t>
  </si>
  <si>
    <t>Pharma Formulations</t>
  </si>
  <si>
    <t>C2</t>
  </si>
  <si>
    <t>Castor Oil</t>
  </si>
  <si>
    <t>E7</t>
  </si>
  <si>
    <t>Marine Products</t>
  </si>
  <si>
    <t>H4</t>
  </si>
  <si>
    <t>Ayush And Herbal Products</t>
  </si>
  <si>
    <t>Icd Pakwara Moradabad/Meerut</t>
  </si>
  <si>
    <t>P6</t>
  </si>
  <si>
    <t>Manmade Staple Fibre</t>
  </si>
  <si>
    <t>C9</t>
  </si>
  <si>
    <t>Processed Vegetables</t>
  </si>
  <si>
    <t>J2</t>
  </si>
  <si>
    <t>Paints &amp; Coatings</t>
  </si>
  <si>
    <t>I6</t>
  </si>
  <si>
    <t>Essential Oils</t>
  </si>
  <si>
    <t>D1</t>
  </si>
  <si>
    <t>Processed Fruits And Juices</t>
  </si>
  <si>
    <t>F3</t>
  </si>
  <si>
    <t>Stone &amp; Granite</t>
  </si>
  <si>
    <t>Argentina</t>
  </si>
  <si>
    <t>H5</t>
  </si>
  <si>
    <t>Bulk Drugs</t>
  </si>
  <si>
    <t>H9</t>
  </si>
  <si>
    <t>Agro Chemicals</t>
  </si>
  <si>
    <t>Swaziland</t>
  </si>
  <si>
    <t>B4</t>
  </si>
  <si>
    <t>Sesame Seeds</t>
  </si>
  <si>
    <t>G1</t>
  </si>
  <si>
    <t>Leather Garments</t>
  </si>
  <si>
    <t>Visakhapatnam Sea</t>
  </si>
  <si>
    <t>D3</t>
  </si>
  <si>
    <t>Cocoa Products</t>
  </si>
  <si>
    <t>G3</t>
  </si>
  <si>
    <t>Leather Footwear Component</t>
  </si>
  <si>
    <t>H7</t>
  </si>
  <si>
    <t>Dyes</t>
  </si>
  <si>
    <t>A1</t>
  </si>
  <si>
    <t>Tea</t>
  </si>
  <si>
    <t>F6</t>
  </si>
  <si>
    <t>Other Crude Minerals</t>
  </si>
  <si>
    <t>B1</t>
  </si>
  <si>
    <t>Spices</t>
  </si>
  <si>
    <t>Cambodia</t>
  </si>
  <si>
    <t>Apiic Building Product</t>
  </si>
  <si>
    <t>Sez Dahej</t>
  </si>
  <si>
    <t>Jabilant Infra Ltd Kandla</t>
  </si>
  <si>
    <t>Pipavab(Vicyor)</t>
  </si>
  <si>
    <t>D4</t>
  </si>
  <si>
    <t>Milled Products</t>
  </si>
  <si>
    <t>Haiti</t>
  </si>
  <si>
    <t>F4</t>
  </si>
  <si>
    <t>Processed Minerals</t>
  </si>
  <si>
    <t>M4</t>
  </si>
  <si>
    <t>Electrodes</t>
  </si>
  <si>
    <t>G9</t>
  </si>
  <si>
    <t>Gold And Other Jewels</t>
  </si>
  <si>
    <t>Timor-Leste</t>
  </si>
  <si>
    <t>Azerbaijan</t>
  </si>
  <si>
    <t>Assam</t>
  </si>
  <si>
    <t>Darranga (Rangia)</t>
  </si>
  <si>
    <t>I3</t>
  </si>
  <si>
    <t>Organic Chemicals</t>
  </si>
  <si>
    <t>Krishnapatnam</t>
  </si>
  <si>
    <t>E4</t>
  </si>
  <si>
    <t>Floricltr Products</t>
  </si>
  <si>
    <t>Port for Import</t>
  </si>
  <si>
    <t>Import Country</t>
  </si>
  <si>
    <t>Copper Products</t>
  </si>
  <si>
    <t>Croatia</t>
  </si>
  <si>
    <t>Cfs Patparganj</t>
  </si>
  <si>
    <t>Cotton Garments</t>
  </si>
  <si>
    <t>Icd Panki, Up</t>
  </si>
  <si>
    <t>Hi Tech Infra P Ltd Coimbatore</t>
  </si>
  <si>
    <t>Suzlon Ap Infra Sez Coimbatore</t>
  </si>
  <si>
    <t>Quest Sez Balgaom Karnataka</t>
  </si>
  <si>
    <t>Sri Lanka</t>
  </si>
  <si>
    <t>Ramki Pharma City (India) Pvt</t>
  </si>
  <si>
    <t>Pharma Dev By Zydus, Ahmedabad</t>
  </si>
  <si>
    <t>Apiic Limited(Naidupeta)</t>
  </si>
  <si>
    <t>L8</t>
  </si>
  <si>
    <t>Nickel Products</t>
  </si>
  <si>
    <t>J4</t>
  </si>
  <si>
    <t>Cement &amp; Clinker</t>
  </si>
  <si>
    <t>Gmr Hyd. Aviation Ltd, Sez</t>
  </si>
  <si>
    <t>Paint &amp; Varnish</t>
  </si>
  <si>
    <t>Cheyyar Sez Cheeyar Tamilnadu</t>
  </si>
  <si>
    <t>Gold &amp; Precious jewels</t>
  </si>
  <si>
    <t>J3</t>
  </si>
  <si>
    <t>Graphite &amp; Explosives</t>
  </si>
  <si>
    <t>Saudi Arab</t>
  </si>
  <si>
    <t>L7</t>
  </si>
  <si>
    <t>Lead Products</t>
  </si>
  <si>
    <t>Star Track Terminal Pvt Ltd Ic</t>
  </si>
  <si>
    <t>Mumbai Sea</t>
  </si>
  <si>
    <t>Unspecified</t>
  </si>
  <si>
    <t>S4</t>
  </si>
  <si>
    <t>Cotton Raw</t>
  </si>
  <si>
    <t>Sez Moradabad</t>
  </si>
  <si>
    <t>Puducherry</t>
  </si>
  <si>
    <t>Karikal</t>
  </si>
  <si>
    <t>Icd Palwal, Bhagola-Janauli</t>
  </si>
  <si>
    <t>Port Type</t>
  </si>
  <si>
    <t>Books &amp; Printing</t>
  </si>
  <si>
    <t>K2</t>
  </si>
  <si>
    <t>Wood Products</t>
  </si>
  <si>
    <t>Sipct Hitechcity Sriperumbudur</t>
  </si>
  <si>
    <t>Mahindra City It Sez Tamil Ndu</t>
  </si>
  <si>
    <t>Sez Nokia Chennai</t>
  </si>
  <si>
    <t>Dairy Machinery</t>
  </si>
  <si>
    <t>Ac, Refrigeration Equipment</t>
  </si>
  <si>
    <t>Elcot Limited (Hosur)</t>
  </si>
  <si>
    <t>Czech Republic</t>
  </si>
  <si>
    <t>Elec Corp Tn Kanchepuram</t>
  </si>
  <si>
    <t>ATM, Moulding Machinery</t>
  </si>
  <si>
    <t>Hnd Tool, Cttng Tool Of Metals</t>
  </si>
  <si>
    <t>Shriram Prop Ipl Perungalathur</t>
  </si>
  <si>
    <t>Serum Bio Pharm Park Sez Pune</t>
  </si>
  <si>
    <t>Luxembourg</t>
  </si>
  <si>
    <t>Other Rubber Products</t>
  </si>
  <si>
    <t>Biotech Services Haveli Pune</t>
  </si>
  <si>
    <t>Icd Thar Dry Port</t>
  </si>
  <si>
    <t>Trivandrum Airport</t>
  </si>
  <si>
    <t>Maha Airport Dev Corp Nagpur</t>
  </si>
  <si>
    <t>Tripura</t>
  </si>
  <si>
    <t>Lcs Manu</t>
  </si>
  <si>
    <t>Arshiya Northern Ftwzltd Noida</t>
  </si>
  <si>
    <t>Icd Samalkha Panipat</t>
  </si>
  <si>
    <t>Aircraft, Spacecraft And Parts</t>
  </si>
  <si>
    <t>Manyata Ebpark B~Lore</t>
  </si>
  <si>
    <t>Railwy Trnsprt Equipmnts, Prts</t>
  </si>
  <si>
    <t>Icd Patparganj, Gazipur, Nr Ga</t>
  </si>
  <si>
    <t>F2</t>
  </si>
  <si>
    <t>Bulk Minerals And Ores</t>
  </si>
  <si>
    <t>Brookebond P.Ltd, Kundalahalli</t>
  </si>
  <si>
    <t>Sri City Pvt Ltd</t>
  </si>
  <si>
    <t>Puerto Rico</t>
  </si>
  <si>
    <t>Cessana Business Park Cochin</t>
  </si>
  <si>
    <t>Sez Mundra</t>
  </si>
  <si>
    <t>Visakhapatnam Spl Economic Zon</t>
  </si>
  <si>
    <t>M9</t>
  </si>
  <si>
    <t>Office Equipments</t>
  </si>
  <si>
    <t>Kiadb Pharmaceutical Sez</t>
  </si>
  <si>
    <t>Amritsar Rly.Stn.</t>
  </si>
  <si>
    <t>Pakistan</t>
  </si>
  <si>
    <t>Biocon Ltd Sez Karnataka</t>
  </si>
  <si>
    <t>Icd Agra</t>
  </si>
  <si>
    <t>Cfs Nashik</t>
  </si>
  <si>
    <t>Lanco Hills Tech Prk Manikonda</t>
  </si>
  <si>
    <t>Petrapole Land</t>
  </si>
  <si>
    <t>Hungary</t>
  </si>
  <si>
    <t>Icd Durgapur, Wb</t>
  </si>
  <si>
    <t>Brandix Indiaapparel Pvt Ltd</t>
  </si>
  <si>
    <t>J8</t>
  </si>
  <si>
    <t>Newsprint</t>
  </si>
  <si>
    <t>Dighi Port Mumbai</t>
  </si>
  <si>
    <t>Icd Dhannad</t>
  </si>
  <si>
    <t>B7</t>
  </si>
  <si>
    <t>Other Oil Seeds</t>
  </si>
  <si>
    <t>Icd Sandkheda Kashipur</t>
  </si>
  <si>
    <t>Motor Vehicle/Cars</t>
  </si>
  <si>
    <t>Greece</t>
  </si>
  <si>
    <t>Jnehru Port Trust</t>
  </si>
  <si>
    <t>Ap Industrial Infra Ltd Ph</t>
  </si>
  <si>
    <t>Plastic Sheets &amp; Films</t>
  </si>
  <si>
    <t>F8</t>
  </si>
  <si>
    <t>Finished Leather</t>
  </si>
  <si>
    <t>Q4</t>
  </si>
  <si>
    <t>Wool, Raw</t>
  </si>
  <si>
    <t>Kakinada Sea</t>
  </si>
  <si>
    <t>E9</t>
  </si>
  <si>
    <t>Mica</t>
  </si>
  <si>
    <t>Congo Dr</t>
  </si>
  <si>
    <t>Zz</t>
  </si>
  <si>
    <t>Atm,Moulding Machinery</t>
  </si>
  <si>
    <t>Hand Cutting Tools</t>
  </si>
  <si>
    <t>Congo Pr</t>
  </si>
  <si>
    <t>Month Name</t>
  </si>
  <si>
    <t>Total Exports</t>
  </si>
  <si>
    <t>Total Imports</t>
  </si>
  <si>
    <t>Trade Balance</t>
  </si>
  <si>
    <t>Trade Status</t>
  </si>
  <si>
    <t>Deficit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</si>
</sst>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D77292F-EC5F-4F29-932C-6D844F36DCAC}" autoFormatId="16" applyNumberFormats="0" applyBorderFormats="0" applyFontFormats="0" applyPatternFormats="0" applyAlignmentFormats="0" applyWidthHeightFormats="0">
  <queryTableRefresh nextId="15" unboundColumnsRight="2">
    <queryTableFields count="14">
      <queryTableField id="1" name="Month" tableColumnId="1"/>
      <queryTableField id="2" name="Year" tableColumnId="2"/>
      <queryTableField id="3" name="State Name" tableColumnId="3"/>
      <queryTableField id="4" name="State Code" tableColumnId="4"/>
      <queryTableField id="5" name="Port to Export" tableColumnId="5"/>
      <queryTableField id="6" name="Export Country" tableColumnId="6"/>
      <queryTableField id="7" name="Principle Commodity Code" tableColumnId="7"/>
      <queryTableField id="8" name="Commodity Name" tableColumnId="8"/>
      <queryTableField id="9" name="Quantity Unit Measurement" tableColumnId="9"/>
      <queryTableField id="10" name="Value of commodity quantity" tableColumnId="10"/>
      <queryTableField id="11" name="Value of commodity quantity in USD" tableColumnId="11"/>
      <queryTableField id="12" name="Value of commodity quantity in INR" tableColumnId="12"/>
      <queryTableField id="13" dataBound="0" tableColumnId="13"/>
      <queryTableField id="14" dataBound="0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77C6F4AF-BD63-450C-839E-47F542CE1D63}" autoFormatId="16" applyNumberFormats="0" applyBorderFormats="0" applyFontFormats="0" applyPatternFormats="0" applyAlignmentFormats="0" applyWidthHeightFormats="0">
  <queryTableRefresh nextId="15" unboundColumnsRight="2">
    <queryTableFields count="14">
      <queryTableField id="1" name="Month" tableColumnId="1"/>
      <queryTableField id="2" name="Year" tableColumnId="2"/>
      <queryTableField id="3" name="State Name" tableColumnId="3"/>
      <queryTableField id="4" name="State Code" tableColumnId="4"/>
      <queryTableField id="5" name="Port for Import" tableColumnId="5"/>
      <queryTableField id="6" name="Import Country" tableColumnId="6"/>
      <queryTableField id="7" name="Principle Commodity Code" tableColumnId="7"/>
      <queryTableField id="8" name="Commodity Name" tableColumnId="8"/>
      <queryTableField id="9" name="Quantity Unit Measurement" tableColumnId="9"/>
      <queryTableField id="10" name="Value of commodity quantity" tableColumnId="10"/>
      <queryTableField id="11" name="Value of commodity quantity in USD" tableColumnId="11"/>
      <queryTableField id="12" name="Value of commodity quantity in INR" tableColumnId="12"/>
      <queryTableField id="13" dataBound="0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372191-7DDC-4C0A-A98D-E4BB4164A23C}" name="EXPORT" displayName="EXPORT" ref="A1:N501" tableType="queryTable" totalsRowShown="0">
  <autoFilter ref="A1:N501" xr:uid="{D0372191-7DDC-4C0A-A98D-E4BB4164A23C}"/>
  <tableColumns count="14">
    <tableColumn id="1" xr3:uid="{110BF614-7336-4CB3-8DA2-E9BF4418AA2D}" uniqueName="1" name="Month" queryTableFieldId="1"/>
    <tableColumn id="2" xr3:uid="{E874440F-7525-4D05-9E5E-737DDF7578AB}" uniqueName="2" name="Year" queryTableFieldId="2"/>
    <tableColumn id="3" xr3:uid="{EDC347E9-B9D9-45E0-A15D-3E2927F40B81}" uniqueName="3" name="State Name" queryTableFieldId="3" dataDxfId="11"/>
    <tableColumn id="4" xr3:uid="{9C3BF2E9-401C-49BB-8503-34E90E14E2E2}" uniqueName="4" name="State Code" queryTableFieldId="4"/>
    <tableColumn id="5" xr3:uid="{BBB6E383-19A4-4E53-B374-A49E8732FFF0}" uniqueName="5" name="Port to Export" queryTableFieldId="5" dataDxfId="10"/>
    <tableColumn id="6" xr3:uid="{EBDC45D1-FD0A-4E96-8CE3-724E99781F0C}" uniqueName="6" name="Export Country" queryTableFieldId="6" dataDxfId="9"/>
    <tableColumn id="7" xr3:uid="{87E148D4-DF1F-427A-A68D-41140DBB8556}" uniqueName="7" name="Principle Commodity Code" queryTableFieldId="7" dataDxfId="8"/>
    <tableColumn id="8" xr3:uid="{1D059B90-5A3B-48E4-AF49-E2121C800530}" uniqueName="8" name="Commodity Name" queryTableFieldId="8" dataDxfId="7"/>
    <tableColumn id="9" xr3:uid="{14507CC5-CF2B-40AE-A6B3-60F15FA6FB3F}" uniqueName="9" name="Quantity Unit Measurement" queryTableFieldId="9" dataDxfId="6"/>
    <tableColumn id="10" xr3:uid="{EB17190A-98AE-4F1B-8FB2-74CFD9740A88}" uniqueName="10" name="Value of commodity quantity" queryTableFieldId="10"/>
    <tableColumn id="11" xr3:uid="{9D8400BF-B222-4CE4-9536-3F22D012CFFF}" uniqueName="11" name="Value of commodity quantity in USD" queryTableFieldId="11"/>
    <tableColumn id="12" xr3:uid="{73DED556-68B9-4900-B9C4-40DB357E08FD}" uniqueName="12" name="Value of commodity quantity in INR" queryTableFieldId="12"/>
    <tableColumn id="13" xr3:uid="{4A8A270F-BE4A-41AE-8F2A-32BDF81283D1}" uniqueName="13" name="Port Type" queryTableFieldId="13">
      <calculatedColumnFormula>IF(OR(ISNUMBER(SEARCH("ICD",E2)),ISNUMBER(SEARCH("Dry Port",E2))),"ICD / Dry Port", IF(OR(ISNUMBER(SEARCH("Sea",E2)),ISNUMBER(SEARCH("Port",E2))),"Sea Port", IF(OR(ISNUMBER(SEARCH("Air",E2)),ISNUMBER(SEARCH("Airport",E2))),"Air Port", IF(ISNUMBER(SEARCH("CFS",E2)),"CFS", IF(OR(ISNUMBER(SEARCH("SEZ",E2)),ISNUMBER(SEARCH("EPZ",E2)),ISNUMBER(SEARCH("FTWZ",E2)),ISNUMBER(SEARCH("City",E2)),ISNUMBER(SEARCH("Park",E2))),"SEZ / Industrial Zone", IF(OR(ISNUMBER(SEARCH("Land",E2)),ISNUMBER(SEARCH("LCS",E2)),ISNUMBER(SEARCH("Rly",E2))),"Land Port", "Other"))))))</calculatedColumnFormula>
    </tableColumn>
    <tableColumn id="14" xr3:uid="{354C5BE5-92BD-472F-B00A-DFE8F5D3CD47}" uniqueName="14" name="Month Name" queryTableFieldId="14">
      <calculatedColumnFormula>TEXT(DATE(EXPORT[[#This Row],[Year]], A2, 1), "mmmm")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AC2BC2-1F9C-4E27-B71A-A5ACDAEC5344}" name="IMPORT" displayName="IMPORT" ref="A1:N501" tableType="queryTable" totalsRowShown="0">
  <autoFilter ref="A1:N501" xr:uid="{EEAC2BC2-1F9C-4E27-B71A-A5ACDAEC5344}"/>
  <tableColumns count="14">
    <tableColumn id="1" xr3:uid="{748DC2A2-981F-4DC2-B4A4-35728CEFA4D3}" uniqueName="1" name="Month" queryTableFieldId="1"/>
    <tableColumn id="2" xr3:uid="{D37D1676-FA35-4D95-B80B-7079066F4905}" uniqueName="2" name="Year" queryTableFieldId="2"/>
    <tableColumn id="3" xr3:uid="{99B51092-97D2-4B1C-B3A4-49C8EECA93DC}" uniqueName="3" name="State Name" queryTableFieldId="3" dataDxfId="5"/>
    <tableColumn id="4" xr3:uid="{73172B7D-4B33-4E10-A7DB-3678400D8EBF}" uniqueName="4" name="State Code" queryTableFieldId="4"/>
    <tableColumn id="5" xr3:uid="{B4C13682-62BC-40D8-8DF5-D0CA88600F6F}" uniqueName="5" name="Port for Import" queryTableFieldId="5" dataDxfId="4"/>
    <tableColumn id="6" xr3:uid="{039740E5-ACC7-4E5D-A12A-29C032DD1EB4}" uniqueName="6" name="Import Country" queryTableFieldId="6" dataDxfId="3"/>
    <tableColumn id="7" xr3:uid="{89C99778-4A70-4B79-9AD1-7E76FE0FBB73}" uniqueName="7" name="Principle Commodity Code" queryTableFieldId="7" dataDxfId="2"/>
    <tableColumn id="8" xr3:uid="{55D9E403-2073-4F7F-AFAB-9EFCB445CA15}" uniqueName="8" name="Commodity Name" queryTableFieldId="8" dataDxfId="1"/>
    <tableColumn id="9" xr3:uid="{42C88406-8F9B-4A06-84E8-CB625D4874D1}" uniqueName="9" name="Quantity Unit Measurement" queryTableFieldId="9" dataDxfId="0"/>
    <tableColumn id="10" xr3:uid="{03F68194-ADFB-48C2-8FD0-1A1435C12692}" uniqueName="10" name="Value of commodity quantity" queryTableFieldId="10"/>
    <tableColumn id="11" xr3:uid="{081FD5CD-1B89-430B-9A38-881CF6D33458}" uniqueName="11" name="Value of commodity quantity in USD" queryTableFieldId="11"/>
    <tableColumn id="12" xr3:uid="{FD939F66-FCA8-414A-B2A9-29A3E381F77B}" uniqueName="12" name="Value of commodity quantity in INR" queryTableFieldId="12"/>
    <tableColumn id="13" xr3:uid="{2581A5A2-0454-45E5-BB3F-A7AD95FAFE17}" uniqueName="13" name="Port Type" queryTableFieldId="13"/>
    <tableColumn id="14" xr3:uid="{FCF6191A-7886-458D-B3CC-D6F8F8763398}" uniqueName="14" name="Month Name" queryTableFieldId="14">
      <calculatedColumnFormula>TEXT(DATE(2024, A2, 1), "mmmm")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5634F-B3D2-444F-B1BD-DFCE8B00D92C}">
  <dimension ref="A1:L501"/>
  <sheetViews>
    <sheetView workbookViewId="0">
      <selection activeCell="O411" sqref="O411"/>
    </sheetView>
  </sheetViews>
  <sheetFormatPr defaultRowHeight="14.4" x14ac:dyDescent="0.3"/>
  <cols>
    <col min="1" max="1" width="13" customWidth="1"/>
    <col min="2" max="2" width="11.88671875" customWidth="1"/>
    <col min="3" max="3" width="23.88671875" customWidth="1"/>
    <col min="4" max="4" width="21.77734375" customWidth="1"/>
    <col min="6" max="6" width="26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8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0</v>
      </c>
      <c r="I2">
        <v>10024</v>
      </c>
      <c r="J2">
        <v>826619</v>
      </c>
      <c r="K2">
        <v>12</v>
      </c>
      <c r="L2">
        <v>2022</v>
      </c>
    </row>
    <row r="3" spans="1:12" x14ac:dyDescent="0.3">
      <c r="A3" t="s">
        <v>18</v>
      </c>
      <c r="B3">
        <v>6</v>
      </c>
      <c r="C3" t="s">
        <v>19</v>
      </c>
      <c r="D3" t="s">
        <v>20</v>
      </c>
      <c r="E3" t="s">
        <v>21</v>
      </c>
      <c r="F3" t="s">
        <v>22</v>
      </c>
      <c r="G3" t="s">
        <v>17</v>
      </c>
      <c r="H3">
        <v>0</v>
      </c>
      <c r="I3">
        <v>210530</v>
      </c>
      <c r="J3">
        <v>14955945</v>
      </c>
      <c r="K3">
        <v>10</v>
      </c>
      <c r="L3">
        <v>2019</v>
      </c>
    </row>
    <row r="4" spans="1:12" x14ac:dyDescent="0.3">
      <c r="A4" t="s">
        <v>23</v>
      </c>
      <c r="B4">
        <v>24</v>
      </c>
      <c r="C4" t="s">
        <v>24</v>
      </c>
      <c r="D4" t="s">
        <v>25</v>
      </c>
      <c r="E4" t="s">
        <v>26</v>
      </c>
      <c r="F4" t="s">
        <v>27</v>
      </c>
      <c r="G4" t="s">
        <v>17</v>
      </c>
      <c r="H4">
        <v>0</v>
      </c>
      <c r="I4">
        <v>200305</v>
      </c>
      <c r="J4">
        <v>16455397</v>
      </c>
      <c r="K4">
        <v>7</v>
      </c>
      <c r="L4">
        <v>2023</v>
      </c>
    </row>
    <row r="5" spans="1:12" x14ac:dyDescent="0.3">
      <c r="A5" t="s">
        <v>28</v>
      </c>
      <c r="B5">
        <v>29</v>
      </c>
      <c r="C5" t="s">
        <v>29</v>
      </c>
      <c r="D5" t="s">
        <v>30</v>
      </c>
      <c r="E5" t="s">
        <v>31</v>
      </c>
      <c r="F5" t="s">
        <v>32</v>
      </c>
      <c r="G5" t="s">
        <v>17</v>
      </c>
      <c r="H5">
        <v>0</v>
      </c>
      <c r="I5">
        <v>507465</v>
      </c>
      <c r="J5">
        <v>35257975</v>
      </c>
      <c r="K5">
        <v>3</v>
      </c>
      <c r="L5">
        <v>2019</v>
      </c>
    </row>
    <row r="6" spans="1:12" x14ac:dyDescent="0.3">
      <c r="A6" t="s">
        <v>33</v>
      </c>
      <c r="B6">
        <v>32</v>
      </c>
      <c r="C6" t="s">
        <v>34</v>
      </c>
      <c r="D6" t="s">
        <v>35</v>
      </c>
      <c r="E6" t="s">
        <v>36</v>
      </c>
      <c r="F6" t="s">
        <v>37</v>
      </c>
      <c r="G6" t="s">
        <v>17</v>
      </c>
      <c r="H6">
        <v>0</v>
      </c>
      <c r="I6">
        <v>125104</v>
      </c>
      <c r="J6">
        <v>10301114</v>
      </c>
      <c r="K6">
        <v>10</v>
      </c>
      <c r="L6">
        <v>2022</v>
      </c>
    </row>
    <row r="7" spans="1:12" x14ac:dyDescent="0.3">
      <c r="A7" t="s">
        <v>23</v>
      </c>
      <c r="B7">
        <v>24</v>
      </c>
      <c r="C7" t="s">
        <v>38</v>
      </c>
      <c r="D7" t="s">
        <v>39</v>
      </c>
      <c r="E7" t="s">
        <v>40</v>
      </c>
      <c r="F7" t="s">
        <v>41</v>
      </c>
      <c r="G7" t="s">
        <v>17</v>
      </c>
      <c r="H7">
        <v>0</v>
      </c>
      <c r="I7">
        <v>9643</v>
      </c>
      <c r="J7">
        <v>726783</v>
      </c>
      <c r="K7">
        <v>12</v>
      </c>
      <c r="L7">
        <v>2021</v>
      </c>
    </row>
    <row r="8" spans="1:12" x14ac:dyDescent="0.3">
      <c r="A8" t="s">
        <v>42</v>
      </c>
      <c r="B8">
        <v>33</v>
      </c>
      <c r="C8" t="s">
        <v>43</v>
      </c>
      <c r="D8" t="s">
        <v>44</v>
      </c>
      <c r="E8" t="s">
        <v>45</v>
      </c>
      <c r="F8" t="s">
        <v>46</v>
      </c>
      <c r="G8" t="s">
        <v>17</v>
      </c>
      <c r="H8">
        <v>0</v>
      </c>
      <c r="I8">
        <v>325521</v>
      </c>
      <c r="J8">
        <v>25414911</v>
      </c>
      <c r="K8">
        <v>6</v>
      </c>
      <c r="L8">
        <v>2022</v>
      </c>
    </row>
    <row r="9" spans="1:12" x14ac:dyDescent="0.3">
      <c r="A9" t="s">
        <v>47</v>
      </c>
      <c r="B9">
        <v>7</v>
      </c>
      <c r="C9" t="s">
        <v>48</v>
      </c>
      <c r="D9" t="s">
        <v>25</v>
      </c>
      <c r="E9" t="s">
        <v>49</v>
      </c>
      <c r="F9" t="s">
        <v>50</v>
      </c>
      <c r="G9" t="s">
        <v>17</v>
      </c>
      <c r="H9">
        <v>0</v>
      </c>
      <c r="I9">
        <v>36349</v>
      </c>
      <c r="J9">
        <v>2673924</v>
      </c>
      <c r="K9">
        <v>9</v>
      </c>
      <c r="L9">
        <v>2021</v>
      </c>
    </row>
    <row r="10" spans="1:12" x14ac:dyDescent="0.3">
      <c r="A10" t="s">
        <v>47</v>
      </c>
      <c r="B10">
        <v>7</v>
      </c>
      <c r="C10" t="s">
        <v>51</v>
      </c>
      <c r="D10" t="s">
        <v>35</v>
      </c>
      <c r="E10" t="s">
        <v>52</v>
      </c>
      <c r="F10" t="s">
        <v>53</v>
      </c>
      <c r="G10" t="s">
        <v>17</v>
      </c>
      <c r="H10">
        <v>0</v>
      </c>
      <c r="I10">
        <v>47481</v>
      </c>
      <c r="J10">
        <v>3206864</v>
      </c>
      <c r="K10">
        <v>5</v>
      </c>
      <c r="L10">
        <v>2018</v>
      </c>
    </row>
    <row r="11" spans="1:12" x14ac:dyDescent="0.3">
      <c r="A11" t="s">
        <v>42</v>
      </c>
      <c r="B11">
        <v>33</v>
      </c>
      <c r="C11" t="s">
        <v>54</v>
      </c>
      <c r="D11" t="s">
        <v>20</v>
      </c>
      <c r="E11" t="s">
        <v>15</v>
      </c>
      <c r="F11" t="s">
        <v>16</v>
      </c>
      <c r="G11" t="s">
        <v>17</v>
      </c>
      <c r="H11">
        <v>0</v>
      </c>
      <c r="I11">
        <v>129050</v>
      </c>
      <c r="J11">
        <v>9393920</v>
      </c>
      <c r="K11">
        <v>3</v>
      </c>
      <c r="L11">
        <v>2021</v>
      </c>
    </row>
    <row r="12" spans="1:12" x14ac:dyDescent="0.3">
      <c r="A12" t="s">
        <v>42</v>
      </c>
      <c r="B12">
        <v>33</v>
      </c>
      <c r="C12" t="s">
        <v>55</v>
      </c>
      <c r="D12" t="s">
        <v>35</v>
      </c>
      <c r="E12" t="s">
        <v>56</v>
      </c>
      <c r="F12" t="s">
        <v>57</v>
      </c>
      <c r="G12" t="s">
        <v>17</v>
      </c>
      <c r="H12">
        <v>0</v>
      </c>
      <c r="I12">
        <v>217449</v>
      </c>
      <c r="J12">
        <v>15703147</v>
      </c>
      <c r="K12">
        <v>9</v>
      </c>
      <c r="L12">
        <v>2018</v>
      </c>
    </row>
    <row r="13" spans="1:12" x14ac:dyDescent="0.3">
      <c r="A13" t="s">
        <v>58</v>
      </c>
      <c r="B13">
        <v>27</v>
      </c>
      <c r="C13" t="s">
        <v>59</v>
      </c>
      <c r="D13" t="s">
        <v>60</v>
      </c>
      <c r="E13" t="s">
        <v>61</v>
      </c>
      <c r="F13" t="s">
        <v>62</v>
      </c>
      <c r="G13" t="s">
        <v>17</v>
      </c>
      <c r="H13">
        <v>0</v>
      </c>
      <c r="I13">
        <v>44026</v>
      </c>
      <c r="J13">
        <v>3625133</v>
      </c>
      <c r="K13">
        <v>10</v>
      </c>
      <c r="L13">
        <v>2022</v>
      </c>
    </row>
    <row r="14" spans="1:12" x14ac:dyDescent="0.3">
      <c r="A14" t="s">
        <v>63</v>
      </c>
      <c r="B14">
        <v>23</v>
      </c>
      <c r="C14" t="s">
        <v>64</v>
      </c>
      <c r="D14" t="s">
        <v>35</v>
      </c>
      <c r="E14" t="s">
        <v>65</v>
      </c>
      <c r="F14" t="s">
        <v>66</v>
      </c>
      <c r="G14" t="s">
        <v>17</v>
      </c>
      <c r="H14">
        <v>0</v>
      </c>
      <c r="I14">
        <v>4588</v>
      </c>
      <c r="J14">
        <v>342612</v>
      </c>
      <c r="K14">
        <v>8</v>
      </c>
      <c r="L14">
        <v>2020</v>
      </c>
    </row>
    <row r="15" spans="1:12" x14ac:dyDescent="0.3">
      <c r="A15" t="s">
        <v>42</v>
      </c>
      <c r="B15">
        <v>33</v>
      </c>
      <c r="C15" t="s">
        <v>67</v>
      </c>
      <c r="D15" t="s">
        <v>68</v>
      </c>
      <c r="E15" t="s">
        <v>36</v>
      </c>
      <c r="F15" t="s">
        <v>37</v>
      </c>
      <c r="G15" t="s">
        <v>17</v>
      </c>
      <c r="H15">
        <v>0</v>
      </c>
      <c r="I15">
        <v>18189</v>
      </c>
      <c r="J15">
        <v>1295433</v>
      </c>
      <c r="K15">
        <v>2</v>
      </c>
      <c r="L15">
        <v>2019</v>
      </c>
    </row>
    <row r="16" spans="1:12" x14ac:dyDescent="0.3">
      <c r="A16" t="s">
        <v>23</v>
      </c>
      <c r="B16">
        <v>24</v>
      </c>
      <c r="C16" t="s">
        <v>69</v>
      </c>
      <c r="D16" t="s">
        <v>70</v>
      </c>
      <c r="E16" t="s">
        <v>71</v>
      </c>
      <c r="F16" t="s">
        <v>72</v>
      </c>
      <c r="G16" t="s">
        <v>17</v>
      </c>
      <c r="H16">
        <v>0</v>
      </c>
      <c r="I16">
        <v>29589</v>
      </c>
      <c r="J16">
        <v>2152800</v>
      </c>
      <c r="K16">
        <v>2</v>
      </c>
      <c r="L16">
        <v>2021</v>
      </c>
    </row>
    <row r="17" spans="1:12" x14ac:dyDescent="0.3">
      <c r="A17" t="s">
        <v>73</v>
      </c>
      <c r="B17">
        <v>3</v>
      </c>
      <c r="C17" t="s">
        <v>74</v>
      </c>
      <c r="D17" t="s">
        <v>75</v>
      </c>
      <c r="E17" t="s">
        <v>15</v>
      </c>
      <c r="F17" t="s">
        <v>16</v>
      </c>
      <c r="G17" t="s">
        <v>17</v>
      </c>
      <c r="H17">
        <v>0</v>
      </c>
      <c r="I17">
        <v>16378</v>
      </c>
      <c r="J17">
        <v>1163476</v>
      </c>
      <c r="K17">
        <v>10</v>
      </c>
      <c r="L17">
        <v>2019</v>
      </c>
    </row>
    <row r="18" spans="1:12" x14ac:dyDescent="0.3">
      <c r="A18" t="s">
        <v>23</v>
      </c>
      <c r="B18">
        <v>24</v>
      </c>
      <c r="C18" t="s">
        <v>38</v>
      </c>
      <c r="D18" t="s">
        <v>76</v>
      </c>
      <c r="E18" t="s">
        <v>77</v>
      </c>
      <c r="F18" t="s">
        <v>78</v>
      </c>
      <c r="G18" t="s">
        <v>17</v>
      </c>
      <c r="H18">
        <v>0</v>
      </c>
      <c r="I18">
        <v>113557</v>
      </c>
      <c r="J18">
        <v>8456827</v>
      </c>
      <c r="K18">
        <v>4</v>
      </c>
      <c r="L18">
        <v>2021</v>
      </c>
    </row>
    <row r="19" spans="1:12" x14ac:dyDescent="0.3">
      <c r="A19" t="s">
        <v>79</v>
      </c>
      <c r="B19">
        <v>9</v>
      </c>
      <c r="C19" t="s">
        <v>80</v>
      </c>
      <c r="D19" t="s">
        <v>81</v>
      </c>
      <c r="E19" t="s">
        <v>82</v>
      </c>
      <c r="F19" t="s">
        <v>83</v>
      </c>
      <c r="G19" t="s">
        <v>17</v>
      </c>
      <c r="H19">
        <v>0</v>
      </c>
      <c r="I19">
        <v>25352</v>
      </c>
      <c r="J19">
        <v>1919829</v>
      </c>
      <c r="K19">
        <v>6</v>
      </c>
      <c r="L19">
        <v>2020</v>
      </c>
    </row>
    <row r="20" spans="1:12" x14ac:dyDescent="0.3">
      <c r="A20" t="s">
        <v>58</v>
      </c>
      <c r="B20">
        <v>27</v>
      </c>
      <c r="C20" t="s">
        <v>84</v>
      </c>
      <c r="D20" t="s">
        <v>85</v>
      </c>
      <c r="E20" t="s">
        <v>86</v>
      </c>
      <c r="F20" t="s">
        <v>87</v>
      </c>
      <c r="G20" t="s">
        <v>17</v>
      </c>
      <c r="H20">
        <v>0</v>
      </c>
      <c r="I20">
        <v>588656</v>
      </c>
      <c r="J20">
        <v>43129443</v>
      </c>
      <c r="K20">
        <v>5</v>
      </c>
      <c r="L20">
        <v>2021</v>
      </c>
    </row>
    <row r="21" spans="1:12" x14ac:dyDescent="0.3">
      <c r="A21" t="s">
        <v>79</v>
      </c>
      <c r="B21">
        <v>9</v>
      </c>
      <c r="C21" t="s">
        <v>88</v>
      </c>
      <c r="D21" t="s">
        <v>89</v>
      </c>
      <c r="E21" t="s">
        <v>86</v>
      </c>
      <c r="F21" t="s">
        <v>87</v>
      </c>
      <c r="G21" t="s">
        <v>17</v>
      </c>
      <c r="H21">
        <v>0</v>
      </c>
      <c r="I21">
        <v>454924</v>
      </c>
      <c r="J21">
        <v>31589419</v>
      </c>
      <c r="K21">
        <v>6</v>
      </c>
      <c r="L21">
        <v>2019</v>
      </c>
    </row>
    <row r="22" spans="1:12" x14ac:dyDescent="0.3">
      <c r="A22" t="s">
        <v>47</v>
      </c>
      <c r="B22">
        <v>7</v>
      </c>
      <c r="C22" t="s">
        <v>51</v>
      </c>
      <c r="D22" t="s">
        <v>90</v>
      </c>
      <c r="E22" t="s">
        <v>49</v>
      </c>
      <c r="F22" t="s">
        <v>50</v>
      </c>
      <c r="G22" t="s">
        <v>17</v>
      </c>
      <c r="H22">
        <v>0</v>
      </c>
      <c r="I22">
        <v>43791</v>
      </c>
      <c r="J22">
        <v>3255911</v>
      </c>
      <c r="K22">
        <v>3</v>
      </c>
      <c r="L22">
        <v>2020</v>
      </c>
    </row>
    <row r="23" spans="1:12" x14ac:dyDescent="0.3">
      <c r="A23" t="s">
        <v>58</v>
      </c>
      <c r="B23">
        <v>27</v>
      </c>
      <c r="C23" t="s">
        <v>59</v>
      </c>
      <c r="D23" t="s">
        <v>91</v>
      </c>
      <c r="E23" t="s">
        <v>92</v>
      </c>
      <c r="F23" t="s">
        <v>93</v>
      </c>
      <c r="G23" t="s">
        <v>17</v>
      </c>
      <c r="H23">
        <v>0</v>
      </c>
      <c r="I23">
        <v>1364</v>
      </c>
      <c r="J23">
        <v>101632</v>
      </c>
      <c r="K23">
        <v>7</v>
      </c>
      <c r="L23">
        <v>2021</v>
      </c>
    </row>
    <row r="24" spans="1:12" x14ac:dyDescent="0.3">
      <c r="A24" t="s">
        <v>58</v>
      </c>
      <c r="B24">
        <v>27</v>
      </c>
      <c r="C24" t="s">
        <v>59</v>
      </c>
      <c r="D24" t="s">
        <v>94</v>
      </c>
      <c r="E24" t="s">
        <v>95</v>
      </c>
      <c r="F24" t="s">
        <v>96</v>
      </c>
      <c r="G24" t="s">
        <v>17</v>
      </c>
      <c r="H24">
        <v>0</v>
      </c>
      <c r="I24">
        <v>131434</v>
      </c>
      <c r="J24">
        <v>9357109</v>
      </c>
      <c r="K24">
        <v>12</v>
      </c>
      <c r="L24">
        <v>2019</v>
      </c>
    </row>
    <row r="25" spans="1:12" x14ac:dyDescent="0.3">
      <c r="A25" t="s">
        <v>18</v>
      </c>
      <c r="B25">
        <v>6</v>
      </c>
      <c r="C25" t="s">
        <v>97</v>
      </c>
      <c r="D25" t="s">
        <v>98</v>
      </c>
      <c r="E25" t="s">
        <v>99</v>
      </c>
      <c r="F25" t="s">
        <v>100</v>
      </c>
      <c r="G25" t="s">
        <v>17</v>
      </c>
      <c r="H25">
        <v>0</v>
      </c>
      <c r="I25">
        <v>1172</v>
      </c>
      <c r="J25">
        <v>83763</v>
      </c>
      <c r="K25">
        <v>11</v>
      </c>
      <c r="L25">
        <v>2019</v>
      </c>
    </row>
    <row r="26" spans="1:12" x14ac:dyDescent="0.3">
      <c r="A26" t="s">
        <v>23</v>
      </c>
      <c r="B26">
        <v>24</v>
      </c>
      <c r="C26" t="s">
        <v>101</v>
      </c>
      <c r="D26" t="s">
        <v>102</v>
      </c>
      <c r="E26" t="s">
        <v>103</v>
      </c>
      <c r="F26" t="s">
        <v>104</v>
      </c>
      <c r="G26" t="s">
        <v>17</v>
      </c>
      <c r="H26">
        <v>0</v>
      </c>
      <c r="I26">
        <v>61351</v>
      </c>
      <c r="J26">
        <v>5079003</v>
      </c>
      <c r="K26">
        <v>8</v>
      </c>
      <c r="L26">
        <v>2023</v>
      </c>
    </row>
    <row r="27" spans="1:12" x14ac:dyDescent="0.3">
      <c r="A27" t="s">
        <v>42</v>
      </c>
      <c r="B27">
        <v>33</v>
      </c>
      <c r="C27" t="s">
        <v>67</v>
      </c>
      <c r="D27" t="s">
        <v>105</v>
      </c>
      <c r="E27" t="s">
        <v>106</v>
      </c>
      <c r="F27" t="s">
        <v>107</v>
      </c>
      <c r="G27" t="s">
        <v>17</v>
      </c>
      <c r="H27">
        <v>0</v>
      </c>
      <c r="I27">
        <v>2950</v>
      </c>
      <c r="J27">
        <v>221205</v>
      </c>
      <c r="K27">
        <v>7</v>
      </c>
      <c r="L27">
        <v>2020</v>
      </c>
    </row>
    <row r="28" spans="1:12" x14ac:dyDescent="0.3">
      <c r="A28" t="s">
        <v>47</v>
      </c>
      <c r="B28">
        <v>7</v>
      </c>
      <c r="C28" t="s">
        <v>48</v>
      </c>
      <c r="D28" t="s">
        <v>108</v>
      </c>
      <c r="E28" t="s">
        <v>109</v>
      </c>
      <c r="F28" t="s">
        <v>110</v>
      </c>
      <c r="G28" t="s">
        <v>17</v>
      </c>
      <c r="H28">
        <v>0</v>
      </c>
      <c r="I28">
        <v>5465</v>
      </c>
      <c r="J28">
        <v>369072</v>
      </c>
      <c r="K28">
        <v>5</v>
      </c>
      <c r="L28">
        <v>2018</v>
      </c>
    </row>
    <row r="29" spans="1:12" x14ac:dyDescent="0.3">
      <c r="A29" t="s">
        <v>42</v>
      </c>
      <c r="B29">
        <v>33</v>
      </c>
      <c r="C29" t="s">
        <v>111</v>
      </c>
      <c r="D29" t="s">
        <v>112</v>
      </c>
      <c r="E29" t="s">
        <v>113</v>
      </c>
      <c r="F29" t="s">
        <v>114</v>
      </c>
      <c r="G29" t="s">
        <v>17</v>
      </c>
      <c r="H29">
        <v>0</v>
      </c>
      <c r="I29">
        <v>202</v>
      </c>
      <c r="J29">
        <v>14826</v>
      </c>
      <c r="K29">
        <v>6</v>
      </c>
      <c r="L29">
        <v>2021</v>
      </c>
    </row>
    <row r="30" spans="1:12" x14ac:dyDescent="0.3">
      <c r="A30" t="s">
        <v>23</v>
      </c>
      <c r="B30">
        <v>24</v>
      </c>
      <c r="C30" t="s">
        <v>38</v>
      </c>
      <c r="D30" t="s">
        <v>115</v>
      </c>
      <c r="E30" t="s">
        <v>116</v>
      </c>
      <c r="F30" t="s">
        <v>117</v>
      </c>
      <c r="G30" t="s">
        <v>17</v>
      </c>
      <c r="H30">
        <v>0</v>
      </c>
      <c r="I30">
        <v>34234</v>
      </c>
      <c r="J30">
        <v>2442017</v>
      </c>
      <c r="K30">
        <v>9</v>
      </c>
      <c r="L30">
        <v>2019</v>
      </c>
    </row>
    <row r="31" spans="1:12" x14ac:dyDescent="0.3">
      <c r="A31" t="s">
        <v>47</v>
      </c>
      <c r="B31">
        <v>7</v>
      </c>
      <c r="C31" t="s">
        <v>48</v>
      </c>
      <c r="D31" t="s">
        <v>118</v>
      </c>
      <c r="E31" t="s">
        <v>61</v>
      </c>
      <c r="F31" t="s">
        <v>62</v>
      </c>
      <c r="G31" t="s">
        <v>17</v>
      </c>
      <c r="H31">
        <v>0</v>
      </c>
      <c r="I31">
        <v>52610</v>
      </c>
      <c r="J31">
        <v>3917963</v>
      </c>
      <c r="K31">
        <v>4</v>
      </c>
      <c r="L31">
        <v>2021</v>
      </c>
    </row>
    <row r="32" spans="1:12" x14ac:dyDescent="0.3">
      <c r="A32" t="s">
        <v>63</v>
      </c>
      <c r="B32">
        <v>23</v>
      </c>
      <c r="C32" t="s">
        <v>119</v>
      </c>
      <c r="D32" t="s">
        <v>120</v>
      </c>
      <c r="E32" t="s">
        <v>121</v>
      </c>
      <c r="F32" t="s">
        <v>122</v>
      </c>
      <c r="G32" t="s">
        <v>17</v>
      </c>
      <c r="H32">
        <v>0</v>
      </c>
      <c r="I32">
        <v>27524</v>
      </c>
      <c r="J32">
        <v>1955302</v>
      </c>
      <c r="K32">
        <v>10</v>
      </c>
      <c r="L32">
        <v>2019</v>
      </c>
    </row>
    <row r="33" spans="1:12" x14ac:dyDescent="0.3">
      <c r="A33" t="s">
        <v>58</v>
      </c>
      <c r="B33">
        <v>27</v>
      </c>
      <c r="C33" t="s">
        <v>59</v>
      </c>
      <c r="D33" t="s">
        <v>35</v>
      </c>
      <c r="E33" t="s">
        <v>123</v>
      </c>
      <c r="F33" t="s">
        <v>124</v>
      </c>
      <c r="G33" t="s">
        <v>17</v>
      </c>
      <c r="H33">
        <v>0</v>
      </c>
      <c r="I33">
        <v>6740340</v>
      </c>
      <c r="J33">
        <v>501148968</v>
      </c>
      <c r="K33">
        <v>3</v>
      </c>
      <c r="L33">
        <v>2020</v>
      </c>
    </row>
    <row r="34" spans="1:12" x14ac:dyDescent="0.3">
      <c r="A34" t="s">
        <v>58</v>
      </c>
      <c r="B34">
        <v>27</v>
      </c>
      <c r="C34" t="s">
        <v>125</v>
      </c>
      <c r="D34" t="s">
        <v>126</v>
      </c>
      <c r="E34" t="s">
        <v>127</v>
      </c>
      <c r="F34" t="s">
        <v>128</v>
      </c>
      <c r="G34" t="s">
        <v>17</v>
      </c>
      <c r="H34">
        <v>0</v>
      </c>
      <c r="I34">
        <v>3919</v>
      </c>
      <c r="J34">
        <v>279491</v>
      </c>
      <c r="K34">
        <v>1</v>
      </c>
      <c r="L34">
        <v>2020</v>
      </c>
    </row>
    <row r="35" spans="1:12" x14ac:dyDescent="0.3">
      <c r="A35" t="s">
        <v>58</v>
      </c>
      <c r="B35">
        <v>27</v>
      </c>
      <c r="C35" t="s">
        <v>129</v>
      </c>
      <c r="D35" t="s">
        <v>68</v>
      </c>
      <c r="E35" t="s">
        <v>123</v>
      </c>
      <c r="F35" t="s">
        <v>124</v>
      </c>
      <c r="G35" t="s">
        <v>17</v>
      </c>
      <c r="H35">
        <v>0</v>
      </c>
      <c r="I35">
        <v>7065</v>
      </c>
      <c r="J35">
        <v>463693</v>
      </c>
      <c r="K35">
        <v>4</v>
      </c>
      <c r="L35">
        <v>2018</v>
      </c>
    </row>
    <row r="36" spans="1:12" x14ac:dyDescent="0.3">
      <c r="A36" t="s">
        <v>23</v>
      </c>
      <c r="B36">
        <v>24</v>
      </c>
      <c r="C36" t="s">
        <v>24</v>
      </c>
      <c r="D36" t="s">
        <v>130</v>
      </c>
      <c r="E36" t="s">
        <v>45</v>
      </c>
      <c r="F36" t="s">
        <v>46</v>
      </c>
      <c r="G36" t="s">
        <v>17</v>
      </c>
      <c r="H36">
        <v>0</v>
      </c>
      <c r="I36">
        <v>39730</v>
      </c>
      <c r="J36">
        <v>2810152</v>
      </c>
      <c r="K36">
        <v>12</v>
      </c>
      <c r="L36">
        <v>2018</v>
      </c>
    </row>
    <row r="37" spans="1:12" x14ac:dyDescent="0.3">
      <c r="A37" t="s">
        <v>23</v>
      </c>
      <c r="B37">
        <v>24</v>
      </c>
      <c r="C37" t="s">
        <v>38</v>
      </c>
      <c r="D37" t="s">
        <v>131</v>
      </c>
      <c r="E37" t="s">
        <v>36</v>
      </c>
      <c r="F37" t="s">
        <v>37</v>
      </c>
      <c r="G37" t="s">
        <v>17</v>
      </c>
      <c r="H37">
        <v>0</v>
      </c>
      <c r="I37">
        <v>11009</v>
      </c>
      <c r="J37">
        <v>757525</v>
      </c>
      <c r="K37">
        <v>7</v>
      </c>
      <c r="L37">
        <v>2019</v>
      </c>
    </row>
    <row r="38" spans="1:12" x14ac:dyDescent="0.3">
      <c r="A38" t="s">
        <v>132</v>
      </c>
      <c r="B38">
        <v>19</v>
      </c>
      <c r="C38" t="s">
        <v>133</v>
      </c>
      <c r="D38" t="s">
        <v>134</v>
      </c>
      <c r="E38" t="s">
        <v>135</v>
      </c>
      <c r="F38" t="s">
        <v>136</v>
      </c>
      <c r="G38" t="s">
        <v>17</v>
      </c>
      <c r="H38">
        <v>0</v>
      </c>
      <c r="I38">
        <v>322</v>
      </c>
      <c r="J38">
        <v>22982</v>
      </c>
      <c r="K38">
        <v>1</v>
      </c>
      <c r="L38">
        <v>2020</v>
      </c>
    </row>
    <row r="39" spans="1:12" x14ac:dyDescent="0.3">
      <c r="A39" t="s">
        <v>47</v>
      </c>
      <c r="B39">
        <v>7</v>
      </c>
      <c r="C39" t="s">
        <v>48</v>
      </c>
      <c r="D39" t="s">
        <v>85</v>
      </c>
      <c r="E39" t="s">
        <v>95</v>
      </c>
      <c r="F39" t="s">
        <v>96</v>
      </c>
      <c r="G39" t="s">
        <v>17</v>
      </c>
      <c r="H39">
        <v>0</v>
      </c>
      <c r="I39">
        <v>0</v>
      </c>
      <c r="J39">
        <v>8</v>
      </c>
      <c r="K39">
        <v>9</v>
      </c>
      <c r="L39">
        <v>2021</v>
      </c>
    </row>
    <row r="40" spans="1:12" x14ac:dyDescent="0.3">
      <c r="A40" t="s">
        <v>137</v>
      </c>
      <c r="B40">
        <v>36</v>
      </c>
      <c r="C40" t="s">
        <v>138</v>
      </c>
      <c r="D40" t="s">
        <v>139</v>
      </c>
      <c r="E40" t="s">
        <v>140</v>
      </c>
      <c r="F40" t="s">
        <v>141</v>
      </c>
      <c r="G40" t="s">
        <v>17</v>
      </c>
      <c r="H40">
        <v>0</v>
      </c>
      <c r="I40">
        <v>4690</v>
      </c>
      <c r="J40">
        <v>388288</v>
      </c>
      <c r="K40">
        <v>8</v>
      </c>
      <c r="L40">
        <v>2023</v>
      </c>
    </row>
    <row r="41" spans="1:12" x14ac:dyDescent="0.3">
      <c r="A41" t="s">
        <v>58</v>
      </c>
      <c r="B41">
        <v>27</v>
      </c>
      <c r="C41" t="s">
        <v>125</v>
      </c>
      <c r="D41" t="s">
        <v>142</v>
      </c>
      <c r="E41" t="s">
        <v>143</v>
      </c>
      <c r="F41" t="s">
        <v>144</v>
      </c>
      <c r="G41" t="s">
        <v>17</v>
      </c>
      <c r="H41">
        <v>0</v>
      </c>
      <c r="I41">
        <v>467554</v>
      </c>
      <c r="J41">
        <v>35612561</v>
      </c>
      <c r="K41">
        <v>4</v>
      </c>
      <c r="L41">
        <v>2022</v>
      </c>
    </row>
    <row r="42" spans="1:12" x14ac:dyDescent="0.3">
      <c r="A42" t="s">
        <v>23</v>
      </c>
      <c r="B42">
        <v>24</v>
      </c>
      <c r="C42" t="s">
        <v>38</v>
      </c>
      <c r="D42" t="s">
        <v>145</v>
      </c>
      <c r="E42" t="s">
        <v>146</v>
      </c>
      <c r="F42" t="s">
        <v>147</v>
      </c>
      <c r="G42" t="s">
        <v>17</v>
      </c>
      <c r="H42">
        <v>0</v>
      </c>
      <c r="I42">
        <v>2835</v>
      </c>
      <c r="J42">
        <v>232162</v>
      </c>
      <c r="K42">
        <v>1</v>
      </c>
      <c r="L42">
        <v>2023</v>
      </c>
    </row>
    <row r="43" spans="1:12" x14ac:dyDescent="0.3">
      <c r="A43" t="s">
        <v>137</v>
      </c>
      <c r="B43">
        <v>36</v>
      </c>
      <c r="C43" t="s">
        <v>148</v>
      </c>
      <c r="D43" t="s">
        <v>149</v>
      </c>
      <c r="E43" t="s">
        <v>150</v>
      </c>
      <c r="F43" t="s">
        <v>151</v>
      </c>
      <c r="G43" t="s">
        <v>17</v>
      </c>
      <c r="H43">
        <v>0</v>
      </c>
      <c r="I43">
        <v>587</v>
      </c>
      <c r="J43">
        <v>48322</v>
      </c>
      <c r="K43">
        <v>10</v>
      </c>
      <c r="L43">
        <v>2022</v>
      </c>
    </row>
    <row r="44" spans="1:12" x14ac:dyDescent="0.3">
      <c r="A44" t="s">
        <v>42</v>
      </c>
      <c r="B44">
        <v>33</v>
      </c>
      <c r="C44" t="s">
        <v>152</v>
      </c>
      <c r="D44" t="s">
        <v>153</v>
      </c>
      <c r="E44" t="s">
        <v>154</v>
      </c>
      <c r="F44" t="s">
        <v>155</v>
      </c>
      <c r="G44" t="s">
        <v>17</v>
      </c>
      <c r="H44">
        <v>0</v>
      </c>
      <c r="I44">
        <v>3008</v>
      </c>
      <c r="J44">
        <v>213701</v>
      </c>
      <c r="K44">
        <v>10</v>
      </c>
      <c r="L44">
        <v>2019</v>
      </c>
    </row>
    <row r="45" spans="1:12" x14ac:dyDescent="0.3">
      <c r="A45" t="s">
        <v>42</v>
      </c>
      <c r="B45">
        <v>33</v>
      </c>
      <c r="C45" t="s">
        <v>111</v>
      </c>
      <c r="D45" t="s">
        <v>156</v>
      </c>
      <c r="E45" t="s">
        <v>157</v>
      </c>
      <c r="F45" t="s">
        <v>158</v>
      </c>
      <c r="G45" t="s">
        <v>17</v>
      </c>
      <c r="H45">
        <v>0</v>
      </c>
      <c r="I45">
        <v>17811</v>
      </c>
      <c r="J45">
        <v>1356600</v>
      </c>
      <c r="K45">
        <v>4</v>
      </c>
      <c r="L45">
        <v>2022</v>
      </c>
    </row>
    <row r="46" spans="1:12" x14ac:dyDescent="0.3">
      <c r="A46" t="s">
        <v>47</v>
      </c>
      <c r="B46">
        <v>7</v>
      </c>
      <c r="C46" t="s">
        <v>48</v>
      </c>
      <c r="D46" t="s">
        <v>159</v>
      </c>
      <c r="E46" t="s">
        <v>154</v>
      </c>
      <c r="F46" t="s">
        <v>155</v>
      </c>
      <c r="G46" t="s">
        <v>17</v>
      </c>
      <c r="H46">
        <v>0</v>
      </c>
      <c r="I46">
        <v>85</v>
      </c>
      <c r="J46">
        <v>7001</v>
      </c>
      <c r="K46">
        <v>3</v>
      </c>
      <c r="L46">
        <v>2023</v>
      </c>
    </row>
    <row r="47" spans="1:12" x14ac:dyDescent="0.3">
      <c r="A47" t="s">
        <v>23</v>
      </c>
      <c r="B47">
        <v>24</v>
      </c>
      <c r="C47" t="s">
        <v>24</v>
      </c>
      <c r="D47" t="s">
        <v>44</v>
      </c>
      <c r="E47" t="s">
        <v>160</v>
      </c>
      <c r="F47" t="s">
        <v>161</v>
      </c>
      <c r="G47" t="s">
        <v>17</v>
      </c>
      <c r="H47">
        <v>0</v>
      </c>
      <c r="I47">
        <v>1229875</v>
      </c>
      <c r="J47">
        <v>90510923</v>
      </c>
      <c r="K47">
        <v>12</v>
      </c>
      <c r="L47">
        <v>2020</v>
      </c>
    </row>
    <row r="48" spans="1:12" x14ac:dyDescent="0.3">
      <c r="A48" t="s">
        <v>79</v>
      </c>
      <c r="B48">
        <v>9</v>
      </c>
      <c r="C48" t="s">
        <v>162</v>
      </c>
      <c r="D48" t="s">
        <v>35</v>
      </c>
      <c r="E48" t="s">
        <v>15</v>
      </c>
      <c r="F48" t="s">
        <v>16</v>
      </c>
      <c r="G48" t="s">
        <v>17</v>
      </c>
      <c r="H48">
        <v>0</v>
      </c>
      <c r="I48">
        <v>285241</v>
      </c>
      <c r="J48">
        <v>20380984</v>
      </c>
      <c r="K48">
        <v>11</v>
      </c>
      <c r="L48">
        <v>2019</v>
      </c>
    </row>
    <row r="49" spans="1:12" x14ac:dyDescent="0.3">
      <c r="A49" t="s">
        <v>58</v>
      </c>
      <c r="B49">
        <v>27</v>
      </c>
      <c r="C49" t="s">
        <v>59</v>
      </c>
      <c r="D49" t="s">
        <v>163</v>
      </c>
      <c r="E49" t="s">
        <v>116</v>
      </c>
      <c r="F49" t="s">
        <v>117</v>
      </c>
      <c r="G49" t="s">
        <v>17</v>
      </c>
      <c r="H49">
        <v>0</v>
      </c>
      <c r="I49">
        <v>169582</v>
      </c>
      <c r="J49">
        <v>13954653</v>
      </c>
      <c r="K49">
        <v>3</v>
      </c>
      <c r="L49">
        <v>2023</v>
      </c>
    </row>
    <row r="50" spans="1:12" x14ac:dyDescent="0.3">
      <c r="A50" t="s">
        <v>47</v>
      </c>
      <c r="B50">
        <v>7</v>
      </c>
      <c r="C50" t="s">
        <v>51</v>
      </c>
      <c r="D50" t="s">
        <v>164</v>
      </c>
      <c r="E50" t="s">
        <v>26</v>
      </c>
      <c r="F50" t="s">
        <v>27</v>
      </c>
      <c r="G50" t="s">
        <v>17</v>
      </c>
      <c r="H50">
        <v>0</v>
      </c>
      <c r="I50">
        <v>5398</v>
      </c>
      <c r="J50">
        <v>385891</v>
      </c>
      <c r="K50">
        <v>2</v>
      </c>
      <c r="L50">
        <v>2020</v>
      </c>
    </row>
    <row r="51" spans="1:12" x14ac:dyDescent="0.3">
      <c r="A51" t="s">
        <v>12</v>
      </c>
      <c r="B51">
        <v>8</v>
      </c>
      <c r="C51" t="s">
        <v>165</v>
      </c>
      <c r="D51" t="s">
        <v>153</v>
      </c>
      <c r="E51" t="s">
        <v>15</v>
      </c>
      <c r="F51" t="s">
        <v>16</v>
      </c>
      <c r="G51" t="s">
        <v>17</v>
      </c>
      <c r="H51">
        <v>0</v>
      </c>
      <c r="I51">
        <v>24072</v>
      </c>
      <c r="J51">
        <v>1714476</v>
      </c>
      <c r="K51">
        <v>2</v>
      </c>
      <c r="L51">
        <v>2019</v>
      </c>
    </row>
    <row r="52" spans="1:12" x14ac:dyDescent="0.3">
      <c r="A52" t="s">
        <v>18</v>
      </c>
      <c r="B52">
        <v>6</v>
      </c>
      <c r="C52" t="s">
        <v>166</v>
      </c>
      <c r="D52" t="s">
        <v>102</v>
      </c>
      <c r="E52" t="s">
        <v>86</v>
      </c>
      <c r="F52" t="s">
        <v>87</v>
      </c>
      <c r="G52" t="s">
        <v>17</v>
      </c>
      <c r="H52">
        <v>0</v>
      </c>
      <c r="I52">
        <v>53108</v>
      </c>
      <c r="J52">
        <v>3939768</v>
      </c>
      <c r="K52">
        <v>8</v>
      </c>
      <c r="L52">
        <v>2021</v>
      </c>
    </row>
    <row r="53" spans="1:12" x14ac:dyDescent="0.3">
      <c r="A53" t="s">
        <v>47</v>
      </c>
      <c r="B53">
        <v>7</v>
      </c>
      <c r="C53" t="s">
        <v>48</v>
      </c>
      <c r="D53" t="s">
        <v>167</v>
      </c>
      <c r="E53" t="s">
        <v>168</v>
      </c>
      <c r="F53" t="s">
        <v>169</v>
      </c>
      <c r="G53" t="s">
        <v>17</v>
      </c>
      <c r="H53">
        <v>0</v>
      </c>
      <c r="I53">
        <v>726</v>
      </c>
      <c r="J53">
        <v>51857</v>
      </c>
      <c r="K53">
        <v>11</v>
      </c>
      <c r="L53">
        <v>2019</v>
      </c>
    </row>
    <row r="54" spans="1:12" x14ac:dyDescent="0.3">
      <c r="A54" t="s">
        <v>42</v>
      </c>
      <c r="B54">
        <v>33</v>
      </c>
      <c r="C54" t="s">
        <v>170</v>
      </c>
      <c r="D54" t="s">
        <v>171</v>
      </c>
      <c r="E54" t="s">
        <v>103</v>
      </c>
      <c r="F54" t="s">
        <v>104</v>
      </c>
      <c r="G54" t="s">
        <v>17</v>
      </c>
      <c r="H54">
        <v>0</v>
      </c>
      <c r="I54">
        <v>11324</v>
      </c>
      <c r="J54">
        <v>843308</v>
      </c>
      <c r="K54">
        <v>4</v>
      </c>
      <c r="L54">
        <v>2021</v>
      </c>
    </row>
    <row r="55" spans="1:12" x14ac:dyDescent="0.3">
      <c r="A55" t="s">
        <v>137</v>
      </c>
      <c r="B55">
        <v>36</v>
      </c>
      <c r="C55" t="s">
        <v>138</v>
      </c>
      <c r="D55" t="s">
        <v>172</v>
      </c>
      <c r="E55" t="s">
        <v>173</v>
      </c>
      <c r="F55" t="s">
        <v>174</v>
      </c>
      <c r="G55" t="s">
        <v>17</v>
      </c>
      <c r="H55">
        <v>0</v>
      </c>
      <c r="I55">
        <v>74152</v>
      </c>
      <c r="J55">
        <v>5447033</v>
      </c>
      <c r="K55">
        <v>10</v>
      </c>
      <c r="L55">
        <v>2020</v>
      </c>
    </row>
    <row r="56" spans="1:12" x14ac:dyDescent="0.3">
      <c r="A56" t="s">
        <v>58</v>
      </c>
      <c r="B56">
        <v>27</v>
      </c>
      <c r="C56" t="s">
        <v>59</v>
      </c>
      <c r="D56" t="s">
        <v>175</v>
      </c>
      <c r="E56" t="s">
        <v>99</v>
      </c>
      <c r="F56" t="s">
        <v>100</v>
      </c>
      <c r="G56" t="s">
        <v>17</v>
      </c>
      <c r="H56">
        <v>0</v>
      </c>
      <c r="I56">
        <v>1180</v>
      </c>
      <c r="J56">
        <v>83836</v>
      </c>
      <c r="K56">
        <v>10</v>
      </c>
      <c r="L56">
        <v>2019</v>
      </c>
    </row>
    <row r="57" spans="1:12" x14ac:dyDescent="0.3">
      <c r="A57" t="s">
        <v>79</v>
      </c>
      <c r="B57">
        <v>9</v>
      </c>
      <c r="C57" t="s">
        <v>162</v>
      </c>
      <c r="D57" t="s">
        <v>131</v>
      </c>
      <c r="E57" t="s">
        <v>65</v>
      </c>
      <c r="F57" t="s">
        <v>66</v>
      </c>
      <c r="G57" t="s">
        <v>17</v>
      </c>
      <c r="H57">
        <v>0</v>
      </c>
      <c r="I57">
        <v>8356</v>
      </c>
      <c r="J57">
        <v>614962</v>
      </c>
      <c r="K57">
        <v>12</v>
      </c>
      <c r="L57">
        <v>2020</v>
      </c>
    </row>
    <row r="58" spans="1:12" x14ac:dyDescent="0.3">
      <c r="A58" t="s">
        <v>42</v>
      </c>
      <c r="B58">
        <v>33</v>
      </c>
      <c r="C58" t="s">
        <v>176</v>
      </c>
      <c r="D58" t="s">
        <v>177</v>
      </c>
      <c r="E58" t="s">
        <v>178</v>
      </c>
      <c r="F58" t="s">
        <v>179</v>
      </c>
      <c r="G58" t="s">
        <v>17</v>
      </c>
      <c r="H58">
        <v>0</v>
      </c>
      <c r="I58">
        <v>4852</v>
      </c>
      <c r="J58">
        <v>400792</v>
      </c>
      <c r="K58">
        <v>2</v>
      </c>
      <c r="L58">
        <v>2023</v>
      </c>
    </row>
    <row r="59" spans="1:12" x14ac:dyDescent="0.3">
      <c r="A59" t="s">
        <v>47</v>
      </c>
      <c r="B59">
        <v>7</v>
      </c>
      <c r="C59" t="s">
        <v>48</v>
      </c>
      <c r="D59" t="s">
        <v>139</v>
      </c>
      <c r="E59" t="s">
        <v>157</v>
      </c>
      <c r="F59" t="s">
        <v>158</v>
      </c>
      <c r="G59" t="s">
        <v>17</v>
      </c>
      <c r="H59">
        <v>0</v>
      </c>
      <c r="I59">
        <v>1224</v>
      </c>
      <c r="J59">
        <v>94641</v>
      </c>
      <c r="K59">
        <v>5</v>
      </c>
      <c r="L59">
        <v>2022</v>
      </c>
    </row>
    <row r="60" spans="1:12" x14ac:dyDescent="0.3">
      <c r="A60" t="s">
        <v>18</v>
      </c>
      <c r="B60">
        <v>6</v>
      </c>
      <c r="C60" t="s">
        <v>19</v>
      </c>
      <c r="D60" t="s">
        <v>14</v>
      </c>
      <c r="E60" t="s">
        <v>157</v>
      </c>
      <c r="F60" t="s">
        <v>158</v>
      </c>
      <c r="G60" t="s">
        <v>17</v>
      </c>
      <c r="H60">
        <v>0</v>
      </c>
      <c r="I60">
        <v>532380</v>
      </c>
      <c r="J60">
        <v>38734090</v>
      </c>
      <c r="K60">
        <v>2</v>
      </c>
      <c r="L60">
        <v>2021</v>
      </c>
    </row>
    <row r="61" spans="1:12" x14ac:dyDescent="0.3">
      <c r="A61" t="s">
        <v>28</v>
      </c>
      <c r="B61">
        <v>29</v>
      </c>
      <c r="C61" t="s">
        <v>29</v>
      </c>
      <c r="D61" t="s">
        <v>180</v>
      </c>
      <c r="E61" t="s">
        <v>56</v>
      </c>
      <c r="F61" t="s">
        <v>57</v>
      </c>
      <c r="G61" t="s">
        <v>17</v>
      </c>
      <c r="H61">
        <v>0</v>
      </c>
      <c r="I61">
        <v>123424</v>
      </c>
      <c r="J61">
        <v>10156355</v>
      </c>
      <c r="K61">
        <v>3</v>
      </c>
      <c r="L61">
        <v>2023</v>
      </c>
    </row>
    <row r="62" spans="1:12" x14ac:dyDescent="0.3">
      <c r="A62" t="s">
        <v>73</v>
      </c>
      <c r="B62">
        <v>3</v>
      </c>
      <c r="C62" t="s">
        <v>181</v>
      </c>
      <c r="D62" t="s">
        <v>180</v>
      </c>
      <c r="E62" t="s">
        <v>45</v>
      </c>
      <c r="F62" t="s">
        <v>46</v>
      </c>
      <c r="G62" t="s">
        <v>17</v>
      </c>
      <c r="H62">
        <v>0</v>
      </c>
      <c r="I62">
        <v>27</v>
      </c>
      <c r="J62">
        <v>2030</v>
      </c>
      <c r="K62">
        <v>3</v>
      </c>
      <c r="L62">
        <v>2022</v>
      </c>
    </row>
    <row r="63" spans="1:12" x14ac:dyDescent="0.3">
      <c r="A63" t="s">
        <v>182</v>
      </c>
      <c r="B63">
        <v>11</v>
      </c>
      <c r="C63" t="s">
        <v>183</v>
      </c>
      <c r="D63" t="s">
        <v>90</v>
      </c>
      <c r="E63" t="s">
        <v>65</v>
      </c>
      <c r="F63" t="s">
        <v>66</v>
      </c>
      <c r="G63" t="s">
        <v>17</v>
      </c>
      <c r="H63">
        <v>0</v>
      </c>
      <c r="I63">
        <v>53270</v>
      </c>
      <c r="J63">
        <v>3659312</v>
      </c>
      <c r="K63">
        <v>7</v>
      </c>
      <c r="L63">
        <v>2018</v>
      </c>
    </row>
    <row r="64" spans="1:12" x14ac:dyDescent="0.3">
      <c r="A64" t="s">
        <v>58</v>
      </c>
      <c r="B64">
        <v>27</v>
      </c>
      <c r="C64" t="s">
        <v>125</v>
      </c>
      <c r="D64" t="s">
        <v>184</v>
      </c>
      <c r="E64" t="s">
        <v>31</v>
      </c>
      <c r="F64" t="s">
        <v>32</v>
      </c>
      <c r="G64" t="s">
        <v>17</v>
      </c>
      <c r="H64">
        <v>0</v>
      </c>
      <c r="I64">
        <v>16810</v>
      </c>
      <c r="J64">
        <v>1382331</v>
      </c>
      <c r="K64">
        <v>6</v>
      </c>
      <c r="L64">
        <v>2023</v>
      </c>
    </row>
    <row r="65" spans="1:12" x14ac:dyDescent="0.3">
      <c r="A65" t="s">
        <v>42</v>
      </c>
      <c r="B65">
        <v>33</v>
      </c>
      <c r="C65" t="s">
        <v>111</v>
      </c>
      <c r="D65" t="s">
        <v>185</v>
      </c>
      <c r="E65" t="s">
        <v>127</v>
      </c>
      <c r="F65" t="s">
        <v>128</v>
      </c>
      <c r="G65" t="s">
        <v>17</v>
      </c>
      <c r="H65">
        <v>0</v>
      </c>
      <c r="I65">
        <v>23243</v>
      </c>
      <c r="J65">
        <v>1901513</v>
      </c>
      <c r="K65">
        <v>11</v>
      </c>
      <c r="L65">
        <v>2022</v>
      </c>
    </row>
    <row r="66" spans="1:12" x14ac:dyDescent="0.3">
      <c r="A66" t="s">
        <v>23</v>
      </c>
      <c r="B66">
        <v>24</v>
      </c>
      <c r="C66" t="s">
        <v>24</v>
      </c>
      <c r="D66" t="s">
        <v>186</v>
      </c>
      <c r="E66" t="s">
        <v>187</v>
      </c>
      <c r="F66" t="s">
        <v>188</v>
      </c>
      <c r="G66" t="s">
        <v>17</v>
      </c>
      <c r="H66">
        <v>0</v>
      </c>
      <c r="I66">
        <v>26585</v>
      </c>
      <c r="J66">
        <v>1691792</v>
      </c>
      <c r="K66">
        <v>1</v>
      </c>
      <c r="L66">
        <v>2018</v>
      </c>
    </row>
    <row r="67" spans="1:12" x14ac:dyDescent="0.3">
      <c r="A67" t="s">
        <v>79</v>
      </c>
      <c r="B67">
        <v>9</v>
      </c>
      <c r="C67" t="s">
        <v>189</v>
      </c>
      <c r="D67" t="s">
        <v>190</v>
      </c>
      <c r="E67" t="s">
        <v>121</v>
      </c>
      <c r="F67" t="s">
        <v>122</v>
      </c>
      <c r="G67" t="s">
        <v>17</v>
      </c>
      <c r="H67">
        <v>0</v>
      </c>
      <c r="I67">
        <v>1074661</v>
      </c>
      <c r="J67">
        <v>76825926</v>
      </c>
      <c r="K67">
        <v>2</v>
      </c>
      <c r="L67">
        <v>2020</v>
      </c>
    </row>
    <row r="68" spans="1:12" x14ac:dyDescent="0.3">
      <c r="A68" t="s">
        <v>23</v>
      </c>
      <c r="B68">
        <v>24</v>
      </c>
      <c r="C68" t="s">
        <v>24</v>
      </c>
      <c r="D68" t="s">
        <v>191</v>
      </c>
      <c r="E68" t="s">
        <v>49</v>
      </c>
      <c r="F68" t="s">
        <v>50</v>
      </c>
      <c r="G68" t="s">
        <v>17</v>
      </c>
      <c r="H68">
        <v>0</v>
      </c>
      <c r="I68">
        <v>310327</v>
      </c>
      <c r="J68">
        <v>22803379</v>
      </c>
      <c r="K68">
        <v>9</v>
      </c>
      <c r="L68">
        <v>2020</v>
      </c>
    </row>
    <row r="69" spans="1:12" x14ac:dyDescent="0.3">
      <c r="A69" t="s">
        <v>79</v>
      </c>
      <c r="B69">
        <v>9</v>
      </c>
      <c r="C69" t="s">
        <v>189</v>
      </c>
      <c r="D69" t="s">
        <v>44</v>
      </c>
      <c r="E69" t="s">
        <v>95</v>
      </c>
      <c r="F69" t="s">
        <v>96</v>
      </c>
      <c r="G69" t="s">
        <v>17</v>
      </c>
      <c r="H69">
        <v>0</v>
      </c>
      <c r="I69">
        <v>801</v>
      </c>
      <c r="J69">
        <v>65730</v>
      </c>
      <c r="K69">
        <v>4</v>
      </c>
      <c r="L69">
        <v>2023</v>
      </c>
    </row>
    <row r="70" spans="1:12" x14ac:dyDescent="0.3">
      <c r="A70" t="s">
        <v>42</v>
      </c>
      <c r="B70">
        <v>33</v>
      </c>
      <c r="C70" t="s">
        <v>192</v>
      </c>
      <c r="D70" t="s">
        <v>193</v>
      </c>
      <c r="E70" t="s">
        <v>116</v>
      </c>
      <c r="F70" t="s">
        <v>117</v>
      </c>
      <c r="G70" t="s">
        <v>17</v>
      </c>
      <c r="H70">
        <v>0</v>
      </c>
      <c r="I70">
        <v>419</v>
      </c>
      <c r="J70">
        <v>34690</v>
      </c>
      <c r="K70">
        <v>8</v>
      </c>
      <c r="L70">
        <v>2023</v>
      </c>
    </row>
    <row r="71" spans="1:12" x14ac:dyDescent="0.3">
      <c r="A71" t="s">
        <v>47</v>
      </c>
      <c r="B71">
        <v>7</v>
      </c>
      <c r="C71" t="s">
        <v>48</v>
      </c>
      <c r="D71" t="s">
        <v>68</v>
      </c>
      <c r="E71" t="s">
        <v>40</v>
      </c>
      <c r="F71" t="s">
        <v>41</v>
      </c>
      <c r="G71" t="s">
        <v>17</v>
      </c>
      <c r="H71">
        <v>0</v>
      </c>
      <c r="I71">
        <v>214</v>
      </c>
      <c r="J71">
        <v>15772</v>
      </c>
      <c r="K71">
        <v>10</v>
      </c>
      <c r="L71">
        <v>2018</v>
      </c>
    </row>
    <row r="72" spans="1:12" x14ac:dyDescent="0.3">
      <c r="A72" t="s">
        <v>58</v>
      </c>
      <c r="B72">
        <v>27</v>
      </c>
      <c r="C72" t="s">
        <v>59</v>
      </c>
      <c r="D72" t="s">
        <v>194</v>
      </c>
      <c r="E72" t="s">
        <v>195</v>
      </c>
      <c r="F72" t="s">
        <v>196</v>
      </c>
      <c r="G72" t="s">
        <v>17</v>
      </c>
      <c r="H72">
        <v>0</v>
      </c>
      <c r="I72">
        <v>103806</v>
      </c>
      <c r="J72">
        <v>8560276</v>
      </c>
      <c r="K72">
        <v>12</v>
      </c>
      <c r="L72">
        <v>2022</v>
      </c>
    </row>
    <row r="73" spans="1:12" x14ac:dyDescent="0.3">
      <c r="A73" t="s">
        <v>47</v>
      </c>
      <c r="B73">
        <v>7</v>
      </c>
      <c r="C73" t="s">
        <v>48</v>
      </c>
      <c r="D73" t="s">
        <v>167</v>
      </c>
      <c r="E73" t="s">
        <v>187</v>
      </c>
      <c r="F73" t="s">
        <v>188</v>
      </c>
      <c r="G73" t="s">
        <v>17</v>
      </c>
      <c r="H73">
        <v>0</v>
      </c>
      <c r="I73">
        <v>3</v>
      </c>
      <c r="J73">
        <v>209</v>
      </c>
      <c r="K73">
        <v>1</v>
      </c>
      <c r="L73">
        <v>2019</v>
      </c>
    </row>
    <row r="74" spans="1:12" x14ac:dyDescent="0.3">
      <c r="A74" t="s">
        <v>58</v>
      </c>
      <c r="B74">
        <v>27</v>
      </c>
      <c r="C74" t="s">
        <v>59</v>
      </c>
      <c r="D74" t="s">
        <v>197</v>
      </c>
      <c r="E74" t="s">
        <v>157</v>
      </c>
      <c r="F74" t="s">
        <v>158</v>
      </c>
      <c r="G74" t="s">
        <v>17</v>
      </c>
      <c r="H74">
        <v>0</v>
      </c>
      <c r="I74">
        <v>3371</v>
      </c>
      <c r="J74">
        <v>277983</v>
      </c>
      <c r="K74">
        <v>12</v>
      </c>
      <c r="L74">
        <v>2022</v>
      </c>
    </row>
    <row r="75" spans="1:12" x14ac:dyDescent="0.3">
      <c r="A75" t="s">
        <v>47</v>
      </c>
      <c r="B75">
        <v>7</v>
      </c>
      <c r="C75" t="s">
        <v>51</v>
      </c>
      <c r="D75" t="s">
        <v>20</v>
      </c>
      <c r="E75" t="s">
        <v>49</v>
      </c>
      <c r="F75" t="s">
        <v>50</v>
      </c>
      <c r="G75" t="s">
        <v>17</v>
      </c>
      <c r="H75">
        <v>0</v>
      </c>
      <c r="I75">
        <v>34458</v>
      </c>
      <c r="J75">
        <v>2565106</v>
      </c>
      <c r="K75">
        <v>1</v>
      </c>
      <c r="L75">
        <v>2022</v>
      </c>
    </row>
    <row r="76" spans="1:12" x14ac:dyDescent="0.3">
      <c r="A76" t="s">
        <v>47</v>
      </c>
      <c r="B76">
        <v>7</v>
      </c>
      <c r="C76" t="s">
        <v>51</v>
      </c>
      <c r="D76" t="s">
        <v>198</v>
      </c>
      <c r="E76" t="s">
        <v>168</v>
      </c>
      <c r="F76" t="s">
        <v>169</v>
      </c>
      <c r="G76" t="s">
        <v>17</v>
      </c>
      <c r="H76">
        <v>0</v>
      </c>
      <c r="I76">
        <v>4422</v>
      </c>
      <c r="J76">
        <v>287536</v>
      </c>
      <c r="K76">
        <v>3</v>
      </c>
      <c r="L76">
        <v>2018</v>
      </c>
    </row>
    <row r="77" spans="1:12" x14ac:dyDescent="0.3">
      <c r="A77" t="s">
        <v>23</v>
      </c>
      <c r="B77">
        <v>24</v>
      </c>
      <c r="C77" t="s">
        <v>199</v>
      </c>
      <c r="D77" t="s">
        <v>153</v>
      </c>
      <c r="E77" t="s">
        <v>26</v>
      </c>
      <c r="F77" t="s">
        <v>27</v>
      </c>
      <c r="G77" t="s">
        <v>17</v>
      </c>
      <c r="H77">
        <v>0</v>
      </c>
      <c r="I77">
        <v>158980</v>
      </c>
      <c r="J77">
        <v>13039676</v>
      </c>
      <c r="K77">
        <v>4</v>
      </c>
      <c r="L77">
        <v>2023</v>
      </c>
    </row>
    <row r="78" spans="1:12" x14ac:dyDescent="0.3">
      <c r="A78" t="s">
        <v>73</v>
      </c>
      <c r="B78">
        <v>3</v>
      </c>
      <c r="C78" t="s">
        <v>74</v>
      </c>
      <c r="D78" t="s">
        <v>200</v>
      </c>
      <c r="E78" t="s">
        <v>15</v>
      </c>
      <c r="F78" t="s">
        <v>16</v>
      </c>
      <c r="G78" t="s">
        <v>17</v>
      </c>
      <c r="H78">
        <v>0</v>
      </c>
      <c r="I78">
        <v>11</v>
      </c>
      <c r="J78">
        <v>787</v>
      </c>
      <c r="K78">
        <v>9</v>
      </c>
      <c r="L78">
        <v>2020</v>
      </c>
    </row>
    <row r="79" spans="1:12" x14ac:dyDescent="0.3">
      <c r="A79" t="s">
        <v>28</v>
      </c>
      <c r="B79">
        <v>29</v>
      </c>
      <c r="C79" t="s">
        <v>201</v>
      </c>
      <c r="D79" t="s">
        <v>145</v>
      </c>
      <c r="E79" t="s">
        <v>61</v>
      </c>
      <c r="F79" t="s">
        <v>62</v>
      </c>
      <c r="G79" t="s">
        <v>17</v>
      </c>
      <c r="H79">
        <v>0</v>
      </c>
      <c r="I79">
        <v>36801</v>
      </c>
      <c r="J79">
        <v>2736169</v>
      </c>
      <c r="K79">
        <v>3</v>
      </c>
      <c r="L79">
        <v>2020</v>
      </c>
    </row>
    <row r="80" spans="1:12" x14ac:dyDescent="0.3">
      <c r="A80" t="s">
        <v>58</v>
      </c>
      <c r="B80">
        <v>27</v>
      </c>
      <c r="C80" t="s">
        <v>125</v>
      </c>
      <c r="D80" t="s">
        <v>90</v>
      </c>
      <c r="E80" t="s">
        <v>202</v>
      </c>
      <c r="F80" t="s">
        <v>203</v>
      </c>
      <c r="G80" t="s">
        <v>17</v>
      </c>
      <c r="H80">
        <v>0</v>
      </c>
      <c r="I80">
        <v>6104</v>
      </c>
      <c r="J80">
        <v>436343</v>
      </c>
      <c r="K80">
        <v>2</v>
      </c>
      <c r="L80">
        <v>2020</v>
      </c>
    </row>
    <row r="81" spans="1:12" x14ac:dyDescent="0.3">
      <c r="A81" t="s">
        <v>42</v>
      </c>
      <c r="B81">
        <v>33</v>
      </c>
      <c r="C81" t="s">
        <v>204</v>
      </c>
      <c r="D81" t="s">
        <v>205</v>
      </c>
      <c r="E81" t="s">
        <v>206</v>
      </c>
      <c r="F81" t="s">
        <v>207</v>
      </c>
      <c r="G81" t="s">
        <v>17</v>
      </c>
      <c r="H81">
        <v>0</v>
      </c>
      <c r="I81">
        <v>4957</v>
      </c>
      <c r="J81">
        <v>334813</v>
      </c>
      <c r="K81">
        <v>5</v>
      </c>
      <c r="L81">
        <v>2018</v>
      </c>
    </row>
    <row r="82" spans="1:12" x14ac:dyDescent="0.3">
      <c r="A82" t="s">
        <v>23</v>
      </c>
      <c r="B82">
        <v>24</v>
      </c>
      <c r="C82" t="s">
        <v>24</v>
      </c>
      <c r="D82" t="s">
        <v>208</v>
      </c>
      <c r="E82" t="s">
        <v>150</v>
      </c>
      <c r="F82" t="s">
        <v>151</v>
      </c>
      <c r="G82" t="s">
        <v>17</v>
      </c>
      <c r="H82">
        <v>0</v>
      </c>
      <c r="I82">
        <v>3143</v>
      </c>
      <c r="J82">
        <v>258436</v>
      </c>
      <c r="K82">
        <v>6</v>
      </c>
      <c r="L82">
        <v>2023</v>
      </c>
    </row>
    <row r="83" spans="1:12" x14ac:dyDescent="0.3">
      <c r="A83" t="s">
        <v>132</v>
      </c>
      <c r="B83">
        <v>19</v>
      </c>
      <c r="C83" t="s">
        <v>209</v>
      </c>
      <c r="D83" t="s">
        <v>210</v>
      </c>
      <c r="E83" t="s">
        <v>211</v>
      </c>
      <c r="F83" t="s">
        <v>212</v>
      </c>
      <c r="G83" t="s">
        <v>17</v>
      </c>
      <c r="H83">
        <v>0</v>
      </c>
      <c r="I83">
        <v>43852</v>
      </c>
      <c r="J83">
        <v>3128129</v>
      </c>
      <c r="K83">
        <v>9</v>
      </c>
      <c r="L83">
        <v>2019</v>
      </c>
    </row>
    <row r="84" spans="1:12" x14ac:dyDescent="0.3">
      <c r="A84" t="s">
        <v>79</v>
      </c>
      <c r="B84">
        <v>9</v>
      </c>
      <c r="C84" t="s">
        <v>213</v>
      </c>
      <c r="D84" t="s">
        <v>89</v>
      </c>
      <c r="E84" t="s">
        <v>56</v>
      </c>
      <c r="F84" t="s">
        <v>57</v>
      </c>
      <c r="G84" t="s">
        <v>17</v>
      </c>
      <c r="H84">
        <v>0</v>
      </c>
      <c r="I84">
        <v>3025</v>
      </c>
      <c r="J84">
        <v>210057</v>
      </c>
      <c r="K84">
        <v>6</v>
      </c>
      <c r="L84">
        <v>2019</v>
      </c>
    </row>
    <row r="85" spans="1:12" x14ac:dyDescent="0.3">
      <c r="A85" t="s">
        <v>33</v>
      </c>
      <c r="B85">
        <v>32</v>
      </c>
      <c r="C85" t="s">
        <v>214</v>
      </c>
      <c r="D85" t="s">
        <v>215</v>
      </c>
      <c r="E85" t="s">
        <v>45</v>
      </c>
      <c r="F85" t="s">
        <v>46</v>
      </c>
      <c r="G85" t="s">
        <v>17</v>
      </c>
      <c r="H85">
        <v>0</v>
      </c>
      <c r="I85">
        <v>3548</v>
      </c>
      <c r="J85">
        <v>263307</v>
      </c>
      <c r="K85">
        <v>11</v>
      </c>
      <c r="L85">
        <v>2020</v>
      </c>
    </row>
    <row r="86" spans="1:12" x14ac:dyDescent="0.3">
      <c r="A86" t="s">
        <v>23</v>
      </c>
      <c r="B86">
        <v>24</v>
      </c>
      <c r="C86" t="s">
        <v>24</v>
      </c>
      <c r="D86" t="s">
        <v>180</v>
      </c>
      <c r="E86" t="s">
        <v>49</v>
      </c>
      <c r="F86" t="s">
        <v>50</v>
      </c>
      <c r="G86" t="s">
        <v>17</v>
      </c>
      <c r="H86">
        <v>0</v>
      </c>
      <c r="I86">
        <v>90758</v>
      </c>
      <c r="J86">
        <v>7224462</v>
      </c>
      <c r="K86">
        <v>7</v>
      </c>
      <c r="L86">
        <v>2022</v>
      </c>
    </row>
    <row r="87" spans="1:12" x14ac:dyDescent="0.3">
      <c r="A87" t="s">
        <v>58</v>
      </c>
      <c r="B87">
        <v>27</v>
      </c>
      <c r="C87" t="s">
        <v>216</v>
      </c>
      <c r="D87" t="s">
        <v>118</v>
      </c>
      <c r="E87" t="s">
        <v>26</v>
      </c>
      <c r="F87" t="s">
        <v>27</v>
      </c>
      <c r="G87" t="s">
        <v>17</v>
      </c>
      <c r="H87">
        <v>0</v>
      </c>
      <c r="I87">
        <v>9805</v>
      </c>
      <c r="J87">
        <v>681900</v>
      </c>
      <c r="K87">
        <v>8</v>
      </c>
      <c r="L87">
        <v>2018</v>
      </c>
    </row>
    <row r="88" spans="1:12" x14ac:dyDescent="0.3">
      <c r="A88" t="s">
        <v>58</v>
      </c>
      <c r="B88">
        <v>27</v>
      </c>
      <c r="C88" t="s">
        <v>59</v>
      </c>
      <c r="D88" t="s">
        <v>217</v>
      </c>
      <c r="E88" t="s">
        <v>52</v>
      </c>
      <c r="F88" t="s">
        <v>53</v>
      </c>
      <c r="G88" t="s">
        <v>17</v>
      </c>
      <c r="H88">
        <v>0</v>
      </c>
      <c r="I88">
        <v>526319</v>
      </c>
      <c r="J88">
        <v>39044761</v>
      </c>
      <c r="K88">
        <v>8</v>
      </c>
      <c r="L88">
        <v>2021</v>
      </c>
    </row>
    <row r="89" spans="1:12" x14ac:dyDescent="0.3">
      <c r="A89" t="s">
        <v>23</v>
      </c>
      <c r="B89">
        <v>24</v>
      </c>
      <c r="C89" t="s">
        <v>218</v>
      </c>
      <c r="D89" t="s">
        <v>219</v>
      </c>
      <c r="E89" t="s">
        <v>146</v>
      </c>
      <c r="F89" t="s">
        <v>147</v>
      </c>
      <c r="G89" t="s">
        <v>17</v>
      </c>
      <c r="H89">
        <v>0</v>
      </c>
      <c r="I89">
        <v>440</v>
      </c>
      <c r="J89">
        <v>30275</v>
      </c>
      <c r="K89">
        <v>7</v>
      </c>
      <c r="L89">
        <v>2019</v>
      </c>
    </row>
    <row r="90" spans="1:12" x14ac:dyDescent="0.3">
      <c r="A90" t="s">
        <v>12</v>
      </c>
      <c r="B90">
        <v>8</v>
      </c>
      <c r="C90" t="s">
        <v>165</v>
      </c>
      <c r="D90" t="s">
        <v>220</v>
      </c>
      <c r="E90" t="s">
        <v>116</v>
      </c>
      <c r="F90" t="s">
        <v>117</v>
      </c>
      <c r="G90" t="s">
        <v>17</v>
      </c>
      <c r="H90">
        <v>0</v>
      </c>
      <c r="I90">
        <v>52241</v>
      </c>
      <c r="J90">
        <v>4291733</v>
      </c>
      <c r="K90">
        <v>7</v>
      </c>
      <c r="L90">
        <v>2023</v>
      </c>
    </row>
    <row r="91" spans="1:12" x14ac:dyDescent="0.3">
      <c r="A91" t="s">
        <v>58</v>
      </c>
      <c r="B91">
        <v>27</v>
      </c>
      <c r="C91" t="s">
        <v>125</v>
      </c>
      <c r="D91" t="s">
        <v>217</v>
      </c>
      <c r="E91" t="s">
        <v>195</v>
      </c>
      <c r="F91" t="s">
        <v>196</v>
      </c>
      <c r="G91" t="s">
        <v>17</v>
      </c>
      <c r="H91">
        <v>0</v>
      </c>
      <c r="I91">
        <v>7523</v>
      </c>
      <c r="J91">
        <v>532142</v>
      </c>
      <c r="K91">
        <v>1</v>
      </c>
      <c r="L91">
        <v>2019</v>
      </c>
    </row>
    <row r="92" spans="1:12" x14ac:dyDescent="0.3">
      <c r="A92" t="s">
        <v>73</v>
      </c>
      <c r="B92">
        <v>3</v>
      </c>
      <c r="C92" t="s">
        <v>221</v>
      </c>
      <c r="D92" t="s">
        <v>222</v>
      </c>
      <c r="E92" t="s">
        <v>77</v>
      </c>
      <c r="F92" t="s">
        <v>78</v>
      </c>
      <c r="G92" t="s">
        <v>17</v>
      </c>
      <c r="H92">
        <v>0</v>
      </c>
      <c r="I92">
        <v>48124</v>
      </c>
      <c r="J92">
        <v>3968516</v>
      </c>
      <c r="K92">
        <v>12</v>
      </c>
      <c r="L92">
        <v>2022</v>
      </c>
    </row>
    <row r="93" spans="1:12" x14ac:dyDescent="0.3">
      <c r="A93" t="s">
        <v>42</v>
      </c>
      <c r="B93">
        <v>33</v>
      </c>
      <c r="C93" t="s">
        <v>223</v>
      </c>
      <c r="D93" t="s">
        <v>35</v>
      </c>
      <c r="E93" t="s">
        <v>21</v>
      </c>
      <c r="F93" t="s">
        <v>22</v>
      </c>
      <c r="G93" t="s">
        <v>17</v>
      </c>
      <c r="H93">
        <v>0</v>
      </c>
      <c r="I93">
        <v>10474496</v>
      </c>
      <c r="J93">
        <v>861356589</v>
      </c>
      <c r="K93">
        <v>6</v>
      </c>
      <c r="L93">
        <v>2023</v>
      </c>
    </row>
    <row r="94" spans="1:12" x14ac:dyDescent="0.3">
      <c r="A94" t="s">
        <v>132</v>
      </c>
      <c r="B94">
        <v>19</v>
      </c>
      <c r="C94" t="s">
        <v>209</v>
      </c>
      <c r="D94" t="s">
        <v>224</v>
      </c>
      <c r="E94" t="s">
        <v>143</v>
      </c>
      <c r="F94" t="s">
        <v>144</v>
      </c>
      <c r="G94" t="s">
        <v>17</v>
      </c>
      <c r="H94">
        <v>0</v>
      </c>
      <c r="I94">
        <v>886</v>
      </c>
      <c r="J94">
        <v>68531</v>
      </c>
      <c r="K94">
        <v>5</v>
      </c>
      <c r="L94">
        <v>2022</v>
      </c>
    </row>
    <row r="95" spans="1:12" x14ac:dyDescent="0.3">
      <c r="A95" t="s">
        <v>42</v>
      </c>
      <c r="B95">
        <v>33</v>
      </c>
      <c r="C95" t="s">
        <v>111</v>
      </c>
      <c r="D95" t="s">
        <v>225</v>
      </c>
      <c r="E95" t="s">
        <v>121</v>
      </c>
      <c r="F95" t="s">
        <v>122</v>
      </c>
      <c r="G95" t="s">
        <v>17</v>
      </c>
      <c r="H95">
        <v>0</v>
      </c>
      <c r="I95">
        <v>15</v>
      </c>
      <c r="J95">
        <v>1052</v>
      </c>
      <c r="K95">
        <v>1</v>
      </c>
      <c r="L95">
        <v>2019</v>
      </c>
    </row>
    <row r="96" spans="1:12" x14ac:dyDescent="0.3">
      <c r="A96" t="s">
        <v>58</v>
      </c>
      <c r="B96">
        <v>27</v>
      </c>
      <c r="C96" t="s">
        <v>125</v>
      </c>
      <c r="D96" t="s">
        <v>76</v>
      </c>
      <c r="E96" t="s">
        <v>61</v>
      </c>
      <c r="F96" t="s">
        <v>62</v>
      </c>
      <c r="G96" t="s">
        <v>17</v>
      </c>
      <c r="H96">
        <v>0</v>
      </c>
      <c r="I96">
        <v>7596</v>
      </c>
      <c r="J96">
        <v>521771</v>
      </c>
      <c r="K96">
        <v>7</v>
      </c>
      <c r="L96">
        <v>2018</v>
      </c>
    </row>
    <row r="97" spans="1:12" x14ac:dyDescent="0.3">
      <c r="A97" t="s">
        <v>42</v>
      </c>
      <c r="B97">
        <v>33</v>
      </c>
      <c r="C97" t="s">
        <v>43</v>
      </c>
      <c r="D97" t="s">
        <v>70</v>
      </c>
      <c r="E97" t="s">
        <v>168</v>
      </c>
      <c r="F97" t="s">
        <v>169</v>
      </c>
      <c r="G97" t="s">
        <v>17</v>
      </c>
      <c r="H97">
        <v>0</v>
      </c>
      <c r="I97">
        <v>318</v>
      </c>
      <c r="J97">
        <v>23722</v>
      </c>
      <c r="K97">
        <v>8</v>
      </c>
      <c r="L97">
        <v>2020</v>
      </c>
    </row>
    <row r="98" spans="1:12" x14ac:dyDescent="0.3">
      <c r="A98" t="s">
        <v>18</v>
      </c>
      <c r="B98">
        <v>6</v>
      </c>
      <c r="C98" t="s">
        <v>226</v>
      </c>
      <c r="D98" t="s">
        <v>20</v>
      </c>
      <c r="E98" t="s">
        <v>227</v>
      </c>
      <c r="F98" t="s">
        <v>228</v>
      </c>
      <c r="G98" t="s">
        <v>17</v>
      </c>
      <c r="H98">
        <v>0</v>
      </c>
      <c r="I98">
        <v>2309</v>
      </c>
      <c r="J98">
        <v>185220</v>
      </c>
      <c r="K98">
        <v>9</v>
      </c>
      <c r="L98">
        <v>2022</v>
      </c>
    </row>
    <row r="99" spans="1:12" x14ac:dyDescent="0.3">
      <c r="A99" t="s">
        <v>42</v>
      </c>
      <c r="B99">
        <v>33</v>
      </c>
      <c r="C99" t="s">
        <v>111</v>
      </c>
      <c r="D99" t="s">
        <v>229</v>
      </c>
      <c r="E99" t="s">
        <v>92</v>
      </c>
      <c r="F99" t="s">
        <v>93</v>
      </c>
      <c r="G99" t="s">
        <v>17</v>
      </c>
      <c r="H99">
        <v>0</v>
      </c>
      <c r="I99">
        <v>3962</v>
      </c>
      <c r="J99">
        <v>324522</v>
      </c>
      <c r="K99">
        <v>1</v>
      </c>
      <c r="L99">
        <v>2023</v>
      </c>
    </row>
    <row r="100" spans="1:12" x14ac:dyDescent="0.3">
      <c r="A100" t="s">
        <v>23</v>
      </c>
      <c r="B100">
        <v>24</v>
      </c>
      <c r="C100" t="s">
        <v>24</v>
      </c>
      <c r="D100" t="s">
        <v>230</v>
      </c>
      <c r="E100" t="s">
        <v>45</v>
      </c>
      <c r="F100" t="s">
        <v>46</v>
      </c>
      <c r="G100" t="s">
        <v>17</v>
      </c>
      <c r="H100">
        <v>0</v>
      </c>
      <c r="I100">
        <v>18773</v>
      </c>
      <c r="J100">
        <v>1398034</v>
      </c>
      <c r="K100">
        <v>4</v>
      </c>
      <c r="L100">
        <v>2021</v>
      </c>
    </row>
    <row r="101" spans="1:12" x14ac:dyDescent="0.3">
      <c r="A101" t="s">
        <v>58</v>
      </c>
      <c r="B101">
        <v>27</v>
      </c>
      <c r="C101" t="s">
        <v>59</v>
      </c>
      <c r="D101" t="s">
        <v>231</v>
      </c>
      <c r="E101" t="s">
        <v>40</v>
      </c>
      <c r="F101" t="s">
        <v>41</v>
      </c>
      <c r="G101" t="s">
        <v>17</v>
      </c>
      <c r="H101">
        <v>0</v>
      </c>
      <c r="I101">
        <v>13700</v>
      </c>
      <c r="J101">
        <v>1131760</v>
      </c>
      <c r="K101">
        <v>2</v>
      </c>
      <c r="L101">
        <v>2023</v>
      </c>
    </row>
    <row r="102" spans="1:12" x14ac:dyDescent="0.3">
      <c r="A102" t="s">
        <v>23</v>
      </c>
      <c r="B102">
        <v>24</v>
      </c>
      <c r="C102" t="s">
        <v>38</v>
      </c>
      <c r="D102" t="s">
        <v>159</v>
      </c>
      <c r="E102" t="s">
        <v>86</v>
      </c>
      <c r="F102" t="s">
        <v>87</v>
      </c>
      <c r="G102" t="s">
        <v>17</v>
      </c>
      <c r="H102">
        <v>0</v>
      </c>
      <c r="I102">
        <v>1513980</v>
      </c>
      <c r="J102">
        <v>124583320</v>
      </c>
      <c r="K102">
        <v>3</v>
      </c>
      <c r="L102">
        <v>2023</v>
      </c>
    </row>
    <row r="103" spans="1:12" x14ac:dyDescent="0.3">
      <c r="A103" t="s">
        <v>58</v>
      </c>
      <c r="B103">
        <v>27</v>
      </c>
      <c r="C103" t="s">
        <v>59</v>
      </c>
      <c r="D103" t="s">
        <v>232</v>
      </c>
      <c r="E103" t="s">
        <v>21</v>
      </c>
      <c r="F103" t="s">
        <v>22</v>
      </c>
      <c r="G103" t="s">
        <v>17</v>
      </c>
      <c r="H103">
        <v>0</v>
      </c>
      <c r="I103">
        <v>34355</v>
      </c>
      <c r="J103">
        <v>2186272</v>
      </c>
      <c r="K103">
        <v>1</v>
      </c>
      <c r="L103">
        <v>2018</v>
      </c>
    </row>
    <row r="104" spans="1:12" x14ac:dyDescent="0.3">
      <c r="A104" t="s">
        <v>42</v>
      </c>
      <c r="B104">
        <v>33</v>
      </c>
      <c r="C104" t="s">
        <v>111</v>
      </c>
      <c r="D104" t="s">
        <v>191</v>
      </c>
      <c r="E104" t="s">
        <v>26</v>
      </c>
      <c r="F104" t="s">
        <v>27</v>
      </c>
      <c r="G104" t="s">
        <v>17</v>
      </c>
      <c r="H104">
        <v>0</v>
      </c>
      <c r="I104">
        <v>43374</v>
      </c>
      <c r="J104">
        <v>3569200</v>
      </c>
      <c r="K104">
        <v>3</v>
      </c>
      <c r="L104">
        <v>2023</v>
      </c>
    </row>
    <row r="105" spans="1:12" x14ac:dyDescent="0.3">
      <c r="A105" t="s">
        <v>18</v>
      </c>
      <c r="B105">
        <v>6</v>
      </c>
      <c r="C105" t="s">
        <v>233</v>
      </c>
      <c r="D105" t="s">
        <v>234</v>
      </c>
      <c r="E105" t="s">
        <v>95</v>
      </c>
      <c r="F105" t="s">
        <v>96</v>
      </c>
      <c r="G105" t="s">
        <v>17</v>
      </c>
      <c r="H105">
        <v>0</v>
      </c>
      <c r="I105">
        <v>16493</v>
      </c>
      <c r="J105">
        <v>1145047</v>
      </c>
      <c r="K105">
        <v>4</v>
      </c>
      <c r="L105">
        <v>2019</v>
      </c>
    </row>
    <row r="106" spans="1:12" x14ac:dyDescent="0.3">
      <c r="A106" t="s">
        <v>23</v>
      </c>
      <c r="B106">
        <v>24</v>
      </c>
      <c r="C106" t="s">
        <v>235</v>
      </c>
      <c r="D106" t="s">
        <v>215</v>
      </c>
      <c r="E106" t="s">
        <v>95</v>
      </c>
      <c r="F106" t="s">
        <v>96</v>
      </c>
      <c r="G106" t="s">
        <v>17</v>
      </c>
      <c r="H106">
        <v>0</v>
      </c>
      <c r="I106">
        <v>76477</v>
      </c>
      <c r="J106">
        <v>5567010</v>
      </c>
      <c r="K106">
        <v>3</v>
      </c>
      <c r="L106">
        <v>2021</v>
      </c>
    </row>
    <row r="107" spans="1:12" x14ac:dyDescent="0.3">
      <c r="A107" t="s">
        <v>73</v>
      </c>
      <c r="B107">
        <v>3</v>
      </c>
      <c r="C107" t="s">
        <v>181</v>
      </c>
      <c r="D107" t="s">
        <v>194</v>
      </c>
      <c r="E107" t="s">
        <v>146</v>
      </c>
      <c r="F107" t="s">
        <v>147</v>
      </c>
      <c r="G107" t="s">
        <v>17</v>
      </c>
      <c r="H107">
        <v>0</v>
      </c>
      <c r="I107">
        <v>2373</v>
      </c>
      <c r="J107">
        <v>174673</v>
      </c>
      <c r="K107">
        <v>12</v>
      </c>
      <c r="L107">
        <v>2020</v>
      </c>
    </row>
    <row r="108" spans="1:12" x14ac:dyDescent="0.3">
      <c r="A108" t="s">
        <v>28</v>
      </c>
      <c r="B108">
        <v>29</v>
      </c>
      <c r="C108" t="s">
        <v>236</v>
      </c>
      <c r="D108" t="s">
        <v>237</v>
      </c>
      <c r="E108" t="s">
        <v>26</v>
      </c>
      <c r="F108" t="s">
        <v>27</v>
      </c>
      <c r="G108" t="s">
        <v>17</v>
      </c>
      <c r="H108">
        <v>0</v>
      </c>
      <c r="I108">
        <v>3120</v>
      </c>
      <c r="J108">
        <v>235132</v>
      </c>
      <c r="K108">
        <v>12</v>
      </c>
      <c r="L108">
        <v>2021</v>
      </c>
    </row>
    <row r="109" spans="1:12" x14ac:dyDescent="0.3">
      <c r="A109" t="s">
        <v>42</v>
      </c>
      <c r="B109">
        <v>33</v>
      </c>
      <c r="C109" t="s">
        <v>43</v>
      </c>
      <c r="D109" t="s">
        <v>237</v>
      </c>
      <c r="E109" t="s">
        <v>168</v>
      </c>
      <c r="F109" t="s">
        <v>169</v>
      </c>
      <c r="G109" t="s">
        <v>17</v>
      </c>
      <c r="H109">
        <v>0</v>
      </c>
      <c r="I109">
        <v>30097</v>
      </c>
      <c r="J109">
        <v>2491620</v>
      </c>
      <c r="K109">
        <v>8</v>
      </c>
      <c r="L109">
        <v>2023</v>
      </c>
    </row>
    <row r="110" spans="1:12" x14ac:dyDescent="0.3">
      <c r="A110" t="s">
        <v>42</v>
      </c>
      <c r="B110">
        <v>33</v>
      </c>
      <c r="C110" t="s">
        <v>238</v>
      </c>
      <c r="D110" t="s">
        <v>20</v>
      </c>
      <c r="E110" t="s">
        <v>92</v>
      </c>
      <c r="F110" t="s">
        <v>93</v>
      </c>
      <c r="G110" t="s">
        <v>17</v>
      </c>
      <c r="H110">
        <v>0</v>
      </c>
      <c r="I110">
        <v>383008</v>
      </c>
      <c r="J110">
        <v>28201778</v>
      </c>
      <c r="K110">
        <v>10</v>
      </c>
      <c r="L110">
        <v>2018</v>
      </c>
    </row>
    <row r="111" spans="1:12" x14ac:dyDescent="0.3">
      <c r="A111" t="s">
        <v>47</v>
      </c>
      <c r="B111">
        <v>7</v>
      </c>
      <c r="C111" t="s">
        <v>51</v>
      </c>
      <c r="D111" t="s">
        <v>105</v>
      </c>
      <c r="E111" t="s">
        <v>92</v>
      </c>
      <c r="F111" t="s">
        <v>93</v>
      </c>
      <c r="G111" t="s">
        <v>17</v>
      </c>
      <c r="H111">
        <v>0</v>
      </c>
      <c r="I111">
        <v>241451</v>
      </c>
      <c r="J111">
        <v>18109568</v>
      </c>
      <c r="K111">
        <v>2</v>
      </c>
      <c r="L111">
        <v>2022</v>
      </c>
    </row>
    <row r="112" spans="1:12" x14ac:dyDescent="0.3">
      <c r="A112" t="s">
        <v>23</v>
      </c>
      <c r="B112">
        <v>24</v>
      </c>
      <c r="C112" t="s">
        <v>24</v>
      </c>
      <c r="D112" t="s">
        <v>105</v>
      </c>
      <c r="E112" t="s">
        <v>239</v>
      </c>
      <c r="F112" t="s">
        <v>240</v>
      </c>
      <c r="G112" t="s">
        <v>17</v>
      </c>
      <c r="H112">
        <v>0</v>
      </c>
      <c r="I112">
        <v>870</v>
      </c>
      <c r="J112">
        <v>63348</v>
      </c>
      <c r="K112">
        <v>3</v>
      </c>
      <c r="L112">
        <v>2021</v>
      </c>
    </row>
    <row r="113" spans="1:12" x14ac:dyDescent="0.3">
      <c r="A113" t="s">
        <v>12</v>
      </c>
      <c r="B113">
        <v>8</v>
      </c>
      <c r="C113" t="s">
        <v>165</v>
      </c>
      <c r="D113" t="s">
        <v>241</v>
      </c>
      <c r="E113" t="s">
        <v>95</v>
      </c>
      <c r="F113" t="s">
        <v>96</v>
      </c>
      <c r="G113" t="s">
        <v>17</v>
      </c>
      <c r="H113">
        <v>0</v>
      </c>
      <c r="I113">
        <v>33</v>
      </c>
      <c r="J113">
        <v>2716</v>
      </c>
      <c r="K113">
        <v>8</v>
      </c>
      <c r="L113">
        <v>2023</v>
      </c>
    </row>
    <row r="114" spans="1:12" x14ac:dyDescent="0.3">
      <c r="A114" t="s">
        <v>42</v>
      </c>
      <c r="B114">
        <v>33</v>
      </c>
      <c r="C114" t="s">
        <v>111</v>
      </c>
      <c r="D114" t="s">
        <v>242</v>
      </c>
      <c r="E114" t="s">
        <v>150</v>
      </c>
      <c r="F114" t="s">
        <v>151</v>
      </c>
      <c r="G114" t="s">
        <v>17</v>
      </c>
      <c r="H114">
        <v>0</v>
      </c>
      <c r="I114">
        <v>176</v>
      </c>
      <c r="J114">
        <v>13097</v>
      </c>
      <c r="K114">
        <v>7</v>
      </c>
      <c r="L114">
        <v>2021</v>
      </c>
    </row>
    <row r="115" spans="1:12" x14ac:dyDescent="0.3">
      <c r="A115" t="s">
        <v>132</v>
      </c>
      <c r="B115">
        <v>19</v>
      </c>
      <c r="C115" t="s">
        <v>133</v>
      </c>
      <c r="D115" t="s">
        <v>243</v>
      </c>
      <c r="E115" t="s">
        <v>244</v>
      </c>
      <c r="F115" t="s">
        <v>245</v>
      </c>
      <c r="G115" t="s">
        <v>17</v>
      </c>
      <c r="H115">
        <v>0</v>
      </c>
      <c r="I115">
        <v>883</v>
      </c>
      <c r="J115">
        <v>72945</v>
      </c>
      <c r="K115">
        <v>2</v>
      </c>
      <c r="L115">
        <v>2023</v>
      </c>
    </row>
    <row r="116" spans="1:12" x14ac:dyDescent="0.3">
      <c r="A116" t="s">
        <v>18</v>
      </c>
      <c r="B116">
        <v>6</v>
      </c>
      <c r="C116" t="s">
        <v>246</v>
      </c>
      <c r="D116" t="s">
        <v>194</v>
      </c>
      <c r="E116" t="s">
        <v>106</v>
      </c>
      <c r="F116" t="s">
        <v>107</v>
      </c>
      <c r="G116" t="s">
        <v>17</v>
      </c>
      <c r="H116">
        <v>0</v>
      </c>
      <c r="I116">
        <v>68941</v>
      </c>
      <c r="J116">
        <v>5382505</v>
      </c>
      <c r="K116">
        <v>6</v>
      </c>
      <c r="L116">
        <v>2022</v>
      </c>
    </row>
    <row r="117" spans="1:12" x14ac:dyDescent="0.3">
      <c r="A117" t="s">
        <v>79</v>
      </c>
      <c r="B117">
        <v>9</v>
      </c>
      <c r="C117" t="s">
        <v>213</v>
      </c>
      <c r="D117" t="s">
        <v>247</v>
      </c>
      <c r="E117" t="s">
        <v>248</v>
      </c>
      <c r="F117" t="s">
        <v>249</v>
      </c>
      <c r="G117" t="s">
        <v>17</v>
      </c>
      <c r="H117">
        <v>0</v>
      </c>
      <c r="I117">
        <v>6649</v>
      </c>
      <c r="J117">
        <v>475086</v>
      </c>
      <c r="K117">
        <v>11</v>
      </c>
      <c r="L117">
        <v>2019</v>
      </c>
    </row>
    <row r="118" spans="1:12" x14ac:dyDescent="0.3">
      <c r="A118" t="s">
        <v>23</v>
      </c>
      <c r="B118">
        <v>24</v>
      </c>
      <c r="C118" t="s">
        <v>199</v>
      </c>
      <c r="D118" t="s">
        <v>193</v>
      </c>
      <c r="E118" t="s">
        <v>157</v>
      </c>
      <c r="F118" t="s">
        <v>158</v>
      </c>
      <c r="G118" t="s">
        <v>17</v>
      </c>
      <c r="H118">
        <v>0</v>
      </c>
      <c r="I118">
        <v>5343</v>
      </c>
      <c r="J118">
        <v>396360</v>
      </c>
      <c r="K118">
        <v>8</v>
      </c>
      <c r="L118">
        <v>2021</v>
      </c>
    </row>
    <row r="119" spans="1:12" x14ac:dyDescent="0.3">
      <c r="A119" t="s">
        <v>42</v>
      </c>
      <c r="B119">
        <v>33</v>
      </c>
      <c r="C119" t="s">
        <v>250</v>
      </c>
      <c r="D119" t="s">
        <v>251</v>
      </c>
      <c r="E119" t="s">
        <v>116</v>
      </c>
      <c r="F119" t="s">
        <v>117</v>
      </c>
      <c r="G119" t="s">
        <v>17</v>
      </c>
      <c r="H119">
        <v>0</v>
      </c>
      <c r="I119">
        <v>221105</v>
      </c>
      <c r="J119">
        <v>15741010</v>
      </c>
      <c r="K119">
        <v>12</v>
      </c>
      <c r="L119">
        <v>2019</v>
      </c>
    </row>
    <row r="120" spans="1:12" x14ac:dyDescent="0.3">
      <c r="A120" t="s">
        <v>23</v>
      </c>
      <c r="B120">
        <v>24</v>
      </c>
      <c r="C120" t="s">
        <v>38</v>
      </c>
      <c r="D120" t="s">
        <v>252</v>
      </c>
      <c r="E120" t="s">
        <v>116</v>
      </c>
      <c r="F120" t="s">
        <v>117</v>
      </c>
      <c r="G120" t="s">
        <v>17</v>
      </c>
      <c r="H120">
        <v>0</v>
      </c>
      <c r="I120">
        <v>185278</v>
      </c>
      <c r="J120">
        <v>13628744</v>
      </c>
      <c r="K120">
        <v>6</v>
      </c>
      <c r="L120">
        <v>2021</v>
      </c>
    </row>
    <row r="121" spans="1:12" x14ac:dyDescent="0.3">
      <c r="A121" t="s">
        <v>47</v>
      </c>
      <c r="B121">
        <v>7</v>
      </c>
      <c r="C121" t="s">
        <v>48</v>
      </c>
      <c r="D121" t="s">
        <v>253</v>
      </c>
      <c r="E121" t="s">
        <v>116</v>
      </c>
      <c r="F121" t="s">
        <v>117</v>
      </c>
      <c r="G121" t="s">
        <v>17</v>
      </c>
      <c r="H121">
        <v>0</v>
      </c>
      <c r="I121">
        <v>2</v>
      </c>
      <c r="J121">
        <v>147</v>
      </c>
      <c r="K121">
        <v>11</v>
      </c>
      <c r="L121">
        <v>2021</v>
      </c>
    </row>
    <row r="122" spans="1:12" x14ac:dyDescent="0.3">
      <c r="A122" t="s">
        <v>18</v>
      </c>
      <c r="B122">
        <v>6</v>
      </c>
      <c r="C122" t="s">
        <v>254</v>
      </c>
      <c r="D122" t="s">
        <v>105</v>
      </c>
      <c r="E122" t="s">
        <v>187</v>
      </c>
      <c r="F122" t="s">
        <v>188</v>
      </c>
      <c r="G122" t="s">
        <v>17</v>
      </c>
      <c r="H122">
        <v>0</v>
      </c>
      <c r="I122">
        <v>39</v>
      </c>
      <c r="J122">
        <v>3170</v>
      </c>
      <c r="K122">
        <v>11</v>
      </c>
      <c r="L122">
        <v>2022</v>
      </c>
    </row>
    <row r="123" spans="1:12" x14ac:dyDescent="0.3">
      <c r="A123" t="s">
        <v>132</v>
      </c>
      <c r="B123">
        <v>19</v>
      </c>
      <c r="C123" t="s">
        <v>133</v>
      </c>
      <c r="D123" t="s">
        <v>193</v>
      </c>
      <c r="E123" t="s">
        <v>61</v>
      </c>
      <c r="F123" t="s">
        <v>62</v>
      </c>
      <c r="G123" t="s">
        <v>17</v>
      </c>
      <c r="H123">
        <v>0</v>
      </c>
      <c r="I123">
        <v>1753</v>
      </c>
      <c r="J123">
        <v>118820</v>
      </c>
      <c r="K123">
        <v>6</v>
      </c>
      <c r="L123">
        <v>2018</v>
      </c>
    </row>
    <row r="124" spans="1:12" x14ac:dyDescent="0.3">
      <c r="A124" t="s">
        <v>42</v>
      </c>
      <c r="B124">
        <v>33</v>
      </c>
      <c r="C124" t="s">
        <v>255</v>
      </c>
      <c r="D124" t="s">
        <v>251</v>
      </c>
      <c r="E124" t="s">
        <v>40</v>
      </c>
      <c r="F124" t="s">
        <v>41</v>
      </c>
      <c r="G124" t="s">
        <v>17</v>
      </c>
      <c r="H124">
        <v>0</v>
      </c>
      <c r="I124">
        <v>500</v>
      </c>
      <c r="J124">
        <v>37496</v>
      </c>
      <c r="K124">
        <v>2</v>
      </c>
      <c r="L124">
        <v>2022</v>
      </c>
    </row>
    <row r="125" spans="1:12" x14ac:dyDescent="0.3">
      <c r="A125" t="s">
        <v>58</v>
      </c>
      <c r="B125">
        <v>27</v>
      </c>
      <c r="C125" t="s">
        <v>59</v>
      </c>
      <c r="D125" t="s">
        <v>256</v>
      </c>
      <c r="E125" t="s">
        <v>206</v>
      </c>
      <c r="F125" t="s">
        <v>207</v>
      </c>
      <c r="G125" t="s">
        <v>17</v>
      </c>
      <c r="H125">
        <v>0</v>
      </c>
      <c r="I125">
        <v>1977</v>
      </c>
      <c r="J125">
        <v>162400</v>
      </c>
      <c r="K125">
        <v>7</v>
      </c>
      <c r="L125">
        <v>2023</v>
      </c>
    </row>
    <row r="126" spans="1:12" x14ac:dyDescent="0.3">
      <c r="A126" t="s">
        <v>28</v>
      </c>
      <c r="B126">
        <v>29</v>
      </c>
      <c r="C126" t="s">
        <v>29</v>
      </c>
      <c r="D126" t="s">
        <v>257</v>
      </c>
      <c r="E126" t="s">
        <v>258</v>
      </c>
      <c r="F126" t="s">
        <v>259</v>
      </c>
      <c r="G126" t="s">
        <v>17</v>
      </c>
      <c r="H126">
        <v>0</v>
      </c>
      <c r="I126">
        <v>48359</v>
      </c>
      <c r="J126">
        <v>3687131</v>
      </c>
      <c r="K126">
        <v>3</v>
      </c>
      <c r="L126">
        <v>2022</v>
      </c>
    </row>
    <row r="127" spans="1:12" x14ac:dyDescent="0.3">
      <c r="A127" t="s">
        <v>47</v>
      </c>
      <c r="B127">
        <v>7</v>
      </c>
      <c r="C127" t="s">
        <v>48</v>
      </c>
      <c r="D127" t="s">
        <v>89</v>
      </c>
      <c r="E127" t="s">
        <v>15</v>
      </c>
      <c r="F127" t="s">
        <v>16</v>
      </c>
      <c r="G127" t="s">
        <v>17</v>
      </c>
      <c r="H127">
        <v>0</v>
      </c>
      <c r="I127">
        <v>6168</v>
      </c>
      <c r="J127">
        <v>507854</v>
      </c>
      <c r="K127">
        <v>10</v>
      </c>
      <c r="L127">
        <v>2022</v>
      </c>
    </row>
    <row r="128" spans="1:12" x14ac:dyDescent="0.3">
      <c r="A128" t="s">
        <v>58</v>
      </c>
      <c r="B128">
        <v>27</v>
      </c>
      <c r="C128" t="s">
        <v>125</v>
      </c>
      <c r="D128" t="s">
        <v>260</v>
      </c>
      <c r="E128" t="s">
        <v>15</v>
      </c>
      <c r="F128" t="s">
        <v>16</v>
      </c>
      <c r="G128" t="s">
        <v>17</v>
      </c>
      <c r="H128">
        <v>0</v>
      </c>
      <c r="I128">
        <v>59</v>
      </c>
      <c r="J128">
        <v>4326</v>
      </c>
      <c r="K128">
        <v>1</v>
      </c>
      <c r="L128">
        <v>2021</v>
      </c>
    </row>
    <row r="129" spans="1:12" x14ac:dyDescent="0.3">
      <c r="A129" t="s">
        <v>42</v>
      </c>
      <c r="B129">
        <v>33</v>
      </c>
      <c r="C129" t="s">
        <v>67</v>
      </c>
      <c r="D129" t="s">
        <v>153</v>
      </c>
      <c r="E129" t="s">
        <v>178</v>
      </c>
      <c r="F129" t="s">
        <v>179</v>
      </c>
      <c r="G129" t="s">
        <v>17</v>
      </c>
      <c r="H129">
        <v>0</v>
      </c>
      <c r="I129">
        <v>2405578</v>
      </c>
      <c r="J129">
        <v>183412118</v>
      </c>
      <c r="K129">
        <v>3</v>
      </c>
      <c r="L129">
        <v>2022</v>
      </c>
    </row>
    <row r="130" spans="1:12" x14ac:dyDescent="0.3">
      <c r="A130" t="s">
        <v>42</v>
      </c>
      <c r="B130">
        <v>33</v>
      </c>
      <c r="C130" t="s">
        <v>43</v>
      </c>
      <c r="D130" t="s">
        <v>261</v>
      </c>
      <c r="E130" t="s">
        <v>99</v>
      </c>
      <c r="F130" t="s">
        <v>100</v>
      </c>
      <c r="G130" t="s">
        <v>17</v>
      </c>
      <c r="H130">
        <v>0</v>
      </c>
      <c r="I130">
        <v>56719</v>
      </c>
      <c r="J130">
        <v>3896235</v>
      </c>
      <c r="K130">
        <v>7</v>
      </c>
      <c r="L130">
        <v>2018</v>
      </c>
    </row>
    <row r="131" spans="1:12" x14ac:dyDescent="0.3">
      <c r="A131" t="s">
        <v>58</v>
      </c>
      <c r="B131">
        <v>27</v>
      </c>
      <c r="C131" t="s">
        <v>129</v>
      </c>
      <c r="D131" t="s">
        <v>20</v>
      </c>
      <c r="E131" t="s">
        <v>92</v>
      </c>
      <c r="F131" t="s">
        <v>93</v>
      </c>
      <c r="G131" t="s">
        <v>17</v>
      </c>
      <c r="H131">
        <v>0</v>
      </c>
      <c r="I131">
        <v>57</v>
      </c>
      <c r="J131">
        <v>4331</v>
      </c>
      <c r="K131">
        <v>5</v>
      </c>
      <c r="L131">
        <v>2020</v>
      </c>
    </row>
    <row r="132" spans="1:12" x14ac:dyDescent="0.3">
      <c r="A132" t="s">
        <v>42</v>
      </c>
      <c r="B132">
        <v>33</v>
      </c>
      <c r="C132" t="s">
        <v>43</v>
      </c>
      <c r="D132" t="s">
        <v>262</v>
      </c>
      <c r="E132" t="s">
        <v>92</v>
      </c>
      <c r="F132" t="s">
        <v>93</v>
      </c>
      <c r="G132" t="s">
        <v>17</v>
      </c>
      <c r="H132">
        <v>0</v>
      </c>
      <c r="I132">
        <v>68331</v>
      </c>
      <c r="J132">
        <v>5174458</v>
      </c>
      <c r="K132">
        <v>6</v>
      </c>
      <c r="L132">
        <v>2020</v>
      </c>
    </row>
    <row r="133" spans="1:12" x14ac:dyDescent="0.3">
      <c r="A133" t="s">
        <v>23</v>
      </c>
      <c r="B133">
        <v>24</v>
      </c>
      <c r="C133" t="s">
        <v>218</v>
      </c>
      <c r="D133" t="s">
        <v>263</v>
      </c>
      <c r="E133" t="s">
        <v>77</v>
      </c>
      <c r="F133" t="s">
        <v>78</v>
      </c>
      <c r="G133" t="s">
        <v>17</v>
      </c>
      <c r="H133">
        <v>0</v>
      </c>
      <c r="I133">
        <v>1062</v>
      </c>
      <c r="J133">
        <v>69687</v>
      </c>
      <c r="K133">
        <v>4</v>
      </c>
      <c r="L133">
        <v>2018</v>
      </c>
    </row>
    <row r="134" spans="1:12" x14ac:dyDescent="0.3">
      <c r="A134" t="s">
        <v>42</v>
      </c>
      <c r="B134">
        <v>33</v>
      </c>
      <c r="C134" t="s">
        <v>264</v>
      </c>
      <c r="D134" t="s">
        <v>90</v>
      </c>
      <c r="E134" t="s">
        <v>86</v>
      </c>
      <c r="F134" t="s">
        <v>87</v>
      </c>
      <c r="G134" t="s">
        <v>17</v>
      </c>
      <c r="H134">
        <v>0</v>
      </c>
      <c r="I134">
        <v>379729</v>
      </c>
      <c r="J134">
        <v>31314019</v>
      </c>
      <c r="K134">
        <v>12</v>
      </c>
      <c r="L134">
        <v>2022</v>
      </c>
    </row>
    <row r="135" spans="1:12" x14ac:dyDescent="0.3">
      <c r="A135" t="s">
        <v>132</v>
      </c>
      <c r="B135">
        <v>19</v>
      </c>
      <c r="C135" t="s">
        <v>209</v>
      </c>
      <c r="D135" t="s">
        <v>265</v>
      </c>
      <c r="E135" t="s">
        <v>266</v>
      </c>
      <c r="F135" t="s">
        <v>267</v>
      </c>
      <c r="G135" t="s">
        <v>17</v>
      </c>
      <c r="H135">
        <v>0</v>
      </c>
      <c r="I135">
        <v>23988</v>
      </c>
      <c r="J135">
        <v>1787747</v>
      </c>
      <c r="K135">
        <v>7</v>
      </c>
      <c r="L135">
        <v>2021</v>
      </c>
    </row>
    <row r="136" spans="1:12" x14ac:dyDescent="0.3">
      <c r="A136" t="s">
        <v>47</v>
      </c>
      <c r="B136">
        <v>7</v>
      </c>
      <c r="C136" t="s">
        <v>48</v>
      </c>
      <c r="D136" t="s">
        <v>268</v>
      </c>
      <c r="E136" t="s">
        <v>140</v>
      </c>
      <c r="F136" t="s">
        <v>141</v>
      </c>
      <c r="G136" t="s">
        <v>17</v>
      </c>
      <c r="H136">
        <v>0</v>
      </c>
      <c r="I136">
        <v>3141</v>
      </c>
      <c r="J136">
        <v>260002</v>
      </c>
      <c r="K136">
        <v>8</v>
      </c>
      <c r="L136">
        <v>2023</v>
      </c>
    </row>
    <row r="137" spans="1:12" x14ac:dyDescent="0.3">
      <c r="A137" t="s">
        <v>58</v>
      </c>
      <c r="B137">
        <v>27</v>
      </c>
      <c r="C137" t="s">
        <v>59</v>
      </c>
      <c r="D137" t="s">
        <v>269</v>
      </c>
      <c r="E137" t="s">
        <v>26</v>
      </c>
      <c r="F137" t="s">
        <v>27</v>
      </c>
      <c r="G137" t="s">
        <v>17</v>
      </c>
      <c r="H137">
        <v>0</v>
      </c>
      <c r="I137">
        <v>27192</v>
      </c>
      <c r="J137">
        <v>2039478</v>
      </c>
      <c r="K137">
        <v>2</v>
      </c>
      <c r="L137">
        <v>2022</v>
      </c>
    </row>
    <row r="138" spans="1:12" x14ac:dyDescent="0.3">
      <c r="A138" t="s">
        <v>58</v>
      </c>
      <c r="B138">
        <v>27</v>
      </c>
      <c r="C138" t="s">
        <v>125</v>
      </c>
      <c r="D138" t="s">
        <v>270</v>
      </c>
      <c r="E138" t="s">
        <v>82</v>
      </c>
      <c r="F138" t="s">
        <v>83</v>
      </c>
      <c r="G138" t="s">
        <v>17</v>
      </c>
      <c r="H138">
        <v>0</v>
      </c>
      <c r="I138">
        <v>37</v>
      </c>
      <c r="J138">
        <v>2940</v>
      </c>
      <c r="K138">
        <v>9</v>
      </c>
      <c r="L138">
        <v>2022</v>
      </c>
    </row>
    <row r="139" spans="1:12" x14ac:dyDescent="0.3">
      <c r="A139" t="s">
        <v>23</v>
      </c>
      <c r="B139">
        <v>24</v>
      </c>
      <c r="C139" t="s">
        <v>271</v>
      </c>
      <c r="D139" t="s">
        <v>35</v>
      </c>
      <c r="E139" t="s">
        <v>178</v>
      </c>
      <c r="F139" t="s">
        <v>179</v>
      </c>
      <c r="G139" t="s">
        <v>17</v>
      </c>
      <c r="H139">
        <v>0</v>
      </c>
      <c r="I139">
        <v>203568</v>
      </c>
      <c r="J139">
        <v>14133225</v>
      </c>
      <c r="K139">
        <v>4</v>
      </c>
      <c r="L139">
        <v>2019</v>
      </c>
    </row>
    <row r="140" spans="1:12" x14ac:dyDescent="0.3">
      <c r="A140" t="s">
        <v>58</v>
      </c>
      <c r="B140">
        <v>27</v>
      </c>
      <c r="C140" t="s">
        <v>272</v>
      </c>
      <c r="D140" t="s">
        <v>193</v>
      </c>
      <c r="E140" t="s">
        <v>86</v>
      </c>
      <c r="F140" t="s">
        <v>87</v>
      </c>
      <c r="G140" t="s">
        <v>17</v>
      </c>
      <c r="H140">
        <v>0</v>
      </c>
      <c r="I140">
        <v>538</v>
      </c>
      <c r="J140">
        <v>40083</v>
      </c>
      <c r="K140">
        <v>7</v>
      </c>
      <c r="L140">
        <v>2021</v>
      </c>
    </row>
    <row r="141" spans="1:12" x14ac:dyDescent="0.3">
      <c r="A141" t="s">
        <v>47</v>
      </c>
      <c r="B141">
        <v>7</v>
      </c>
      <c r="C141" t="s">
        <v>51</v>
      </c>
      <c r="D141" t="s">
        <v>190</v>
      </c>
      <c r="E141" t="s">
        <v>86</v>
      </c>
      <c r="F141" t="s">
        <v>87</v>
      </c>
      <c r="G141" t="s">
        <v>17</v>
      </c>
      <c r="H141">
        <v>0</v>
      </c>
      <c r="I141">
        <v>723720</v>
      </c>
      <c r="J141">
        <v>55124177</v>
      </c>
      <c r="K141">
        <v>4</v>
      </c>
      <c r="L141">
        <v>2022</v>
      </c>
    </row>
    <row r="142" spans="1:12" x14ac:dyDescent="0.3">
      <c r="A142" t="s">
        <v>42</v>
      </c>
      <c r="B142">
        <v>33</v>
      </c>
      <c r="C142" t="s">
        <v>111</v>
      </c>
      <c r="D142" t="s">
        <v>186</v>
      </c>
      <c r="E142" t="s">
        <v>61</v>
      </c>
      <c r="F142" t="s">
        <v>62</v>
      </c>
      <c r="G142" t="s">
        <v>17</v>
      </c>
      <c r="H142">
        <v>0</v>
      </c>
      <c r="I142">
        <v>5798</v>
      </c>
      <c r="J142">
        <v>426921</v>
      </c>
      <c r="K142">
        <v>10</v>
      </c>
      <c r="L142">
        <v>2018</v>
      </c>
    </row>
    <row r="143" spans="1:12" x14ac:dyDescent="0.3">
      <c r="A143" t="s">
        <v>47</v>
      </c>
      <c r="B143">
        <v>7</v>
      </c>
      <c r="C143" t="s">
        <v>51</v>
      </c>
      <c r="D143" t="s">
        <v>14</v>
      </c>
      <c r="E143" t="s">
        <v>92</v>
      </c>
      <c r="F143" t="s">
        <v>93</v>
      </c>
      <c r="G143" t="s">
        <v>17</v>
      </c>
      <c r="H143">
        <v>0</v>
      </c>
      <c r="I143">
        <v>20534</v>
      </c>
      <c r="J143">
        <v>1321842</v>
      </c>
      <c r="K143">
        <v>2</v>
      </c>
      <c r="L143">
        <v>2018</v>
      </c>
    </row>
    <row r="144" spans="1:12" x14ac:dyDescent="0.3">
      <c r="A144" t="s">
        <v>42</v>
      </c>
      <c r="B144">
        <v>33</v>
      </c>
      <c r="C144" t="s">
        <v>176</v>
      </c>
      <c r="D144" t="s">
        <v>241</v>
      </c>
      <c r="E144" t="s">
        <v>273</v>
      </c>
      <c r="F144" t="s">
        <v>274</v>
      </c>
      <c r="G144" t="s">
        <v>17</v>
      </c>
      <c r="H144">
        <v>0</v>
      </c>
      <c r="I144">
        <v>603</v>
      </c>
      <c r="J144">
        <v>44309</v>
      </c>
      <c r="K144">
        <v>10</v>
      </c>
      <c r="L144">
        <v>2020</v>
      </c>
    </row>
    <row r="145" spans="1:12" x14ac:dyDescent="0.3">
      <c r="A145" t="s">
        <v>275</v>
      </c>
      <c r="B145">
        <v>28</v>
      </c>
      <c r="C145" t="s">
        <v>276</v>
      </c>
      <c r="D145" t="s">
        <v>153</v>
      </c>
      <c r="E145" t="s">
        <v>273</v>
      </c>
      <c r="F145" t="s">
        <v>274</v>
      </c>
      <c r="G145" t="s">
        <v>17</v>
      </c>
      <c r="H145">
        <v>0</v>
      </c>
      <c r="I145">
        <v>336755</v>
      </c>
      <c r="J145">
        <v>27580101</v>
      </c>
      <c r="K145">
        <v>1</v>
      </c>
      <c r="L145">
        <v>2023</v>
      </c>
    </row>
    <row r="146" spans="1:12" x14ac:dyDescent="0.3">
      <c r="A146" t="s">
        <v>28</v>
      </c>
      <c r="B146">
        <v>29</v>
      </c>
      <c r="C146" t="s">
        <v>236</v>
      </c>
      <c r="D146" t="s">
        <v>277</v>
      </c>
      <c r="E146" t="s">
        <v>121</v>
      </c>
      <c r="F146" t="s">
        <v>122</v>
      </c>
      <c r="G146" t="s">
        <v>17</v>
      </c>
      <c r="H146">
        <v>0</v>
      </c>
      <c r="I146">
        <v>2907</v>
      </c>
      <c r="J146">
        <v>213566</v>
      </c>
      <c r="K146">
        <v>10</v>
      </c>
      <c r="L146">
        <v>2020</v>
      </c>
    </row>
    <row r="147" spans="1:12" x14ac:dyDescent="0.3">
      <c r="A147" t="s">
        <v>23</v>
      </c>
      <c r="B147">
        <v>24</v>
      </c>
      <c r="C147" t="s">
        <v>24</v>
      </c>
      <c r="D147" t="s">
        <v>105</v>
      </c>
      <c r="E147" t="s">
        <v>106</v>
      </c>
      <c r="F147" t="s">
        <v>107</v>
      </c>
      <c r="G147" t="s">
        <v>17</v>
      </c>
      <c r="H147">
        <v>0</v>
      </c>
      <c r="I147">
        <v>194887</v>
      </c>
      <c r="J147">
        <v>13553716</v>
      </c>
      <c r="K147">
        <v>8</v>
      </c>
      <c r="L147">
        <v>2018</v>
      </c>
    </row>
    <row r="148" spans="1:12" x14ac:dyDescent="0.3">
      <c r="A148" t="s">
        <v>42</v>
      </c>
      <c r="B148">
        <v>33</v>
      </c>
      <c r="C148" t="s">
        <v>176</v>
      </c>
      <c r="D148" t="s">
        <v>14</v>
      </c>
      <c r="E148" t="s">
        <v>15</v>
      </c>
      <c r="F148" t="s">
        <v>16</v>
      </c>
      <c r="G148" t="s">
        <v>17</v>
      </c>
      <c r="H148">
        <v>0</v>
      </c>
      <c r="I148">
        <v>107895</v>
      </c>
      <c r="J148">
        <v>7694417</v>
      </c>
      <c r="K148">
        <v>1</v>
      </c>
      <c r="L148">
        <v>2020</v>
      </c>
    </row>
    <row r="149" spans="1:12" x14ac:dyDescent="0.3">
      <c r="A149" t="s">
        <v>12</v>
      </c>
      <c r="B149">
        <v>8</v>
      </c>
      <c r="C149" t="s">
        <v>13</v>
      </c>
      <c r="D149" t="s">
        <v>14</v>
      </c>
      <c r="E149" t="s">
        <v>278</v>
      </c>
      <c r="F149" t="s">
        <v>279</v>
      </c>
      <c r="G149" t="s">
        <v>17</v>
      </c>
      <c r="H149">
        <v>0</v>
      </c>
      <c r="I149">
        <v>2091</v>
      </c>
      <c r="J149">
        <v>152905</v>
      </c>
      <c r="K149">
        <v>1</v>
      </c>
      <c r="L149">
        <v>2021</v>
      </c>
    </row>
    <row r="150" spans="1:12" x14ac:dyDescent="0.3">
      <c r="A150" t="s">
        <v>58</v>
      </c>
      <c r="B150">
        <v>27</v>
      </c>
      <c r="C150" t="s">
        <v>125</v>
      </c>
      <c r="D150" t="s">
        <v>280</v>
      </c>
      <c r="E150" t="s">
        <v>187</v>
      </c>
      <c r="F150" t="s">
        <v>188</v>
      </c>
      <c r="G150" t="s">
        <v>17</v>
      </c>
      <c r="H150">
        <v>0</v>
      </c>
      <c r="I150">
        <v>1677</v>
      </c>
      <c r="J150">
        <v>116475</v>
      </c>
      <c r="K150">
        <v>6</v>
      </c>
      <c r="L150">
        <v>2019</v>
      </c>
    </row>
    <row r="151" spans="1:12" x14ac:dyDescent="0.3">
      <c r="A151" t="s">
        <v>42</v>
      </c>
      <c r="B151">
        <v>33</v>
      </c>
      <c r="C151" t="s">
        <v>176</v>
      </c>
      <c r="D151" t="s">
        <v>281</v>
      </c>
      <c r="E151" t="s">
        <v>113</v>
      </c>
      <c r="F151" t="s">
        <v>114</v>
      </c>
      <c r="G151" t="s">
        <v>17</v>
      </c>
      <c r="H151">
        <v>0</v>
      </c>
      <c r="I151">
        <v>41926</v>
      </c>
      <c r="J151">
        <v>2910837</v>
      </c>
      <c r="K151">
        <v>4</v>
      </c>
      <c r="L151">
        <v>2019</v>
      </c>
    </row>
    <row r="152" spans="1:12" x14ac:dyDescent="0.3">
      <c r="A152" t="s">
        <v>23</v>
      </c>
      <c r="B152">
        <v>24</v>
      </c>
      <c r="C152" t="s">
        <v>235</v>
      </c>
      <c r="D152" t="s">
        <v>167</v>
      </c>
      <c r="E152" t="s">
        <v>52</v>
      </c>
      <c r="F152" t="s">
        <v>53</v>
      </c>
      <c r="G152" t="s">
        <v>17</v>
      </c>
      <c r="H152">
        <v>0</v>
      </c>
      <c r="I152">
        <v>24393</v>
      </c>
      <c r="J152">
        <v>1693803</v>
      </c>
      <c r="K152">
        <v>6</v>
      </c>
      <c r="L152">
        <v>2019</v>
      </c>
    </row>
    <row r="153" spans="1:12" x14ac:dyDescent="0.3">
      <c r="A153" t="s">
        <v>42</v>
      </c>
      <c r="B153">
        <v>33</v>
      </c>
      <c r="C153" t="s">
        <v>43</v>
      </c>
      <c r="D153" t="s">
        <v>225</v>
      </c>
      <c r="E153" t="s">
        <v>173</v>
      </c>
      <c r="F153" t="s">
        <v>174</v>
      </c>
      <c r="G153" t="s">
        <v>17</v>
      </c>
      <c r="H153">
        <v>0</v>
      </c>
      <c r="I153">
        <v>552</v>
      </c>
      <c r="J153">
        <v>38341</v>
      </c>
      <c r="K153">
        <v>3</v>
      </c>
      <c r="L153">
        <v>2019</v>
      </c>
    </row>
    <row r="154" spans="1:12" x14ac:dyDescent="0.3">
      <c r="A154" t="s">
        <v>28</v>
      </c>
      <c r="B154">
        <v>29</v>
      </c>
      <c r="C154" t="s">
        <v>236</v>
      </c>
      <c r="D154" t="s">
        <v>44</v>
      </c>
      <c r="E154" t="s">
        <v>282</v>
      </c>
      <c r="F154" t="s">
        <v>283</v>
      </c>
      <c r="G154" t="s">
        <v>17</v>
      </c>
      <c r="H154">
        <v>0</v>
      </c>
      <c r="I154">
        <v>1647</v>
      </c>
      <c r="J154">
        <v>131090</v>
      </c>
      <c r="K154">
        <v>7</v>
      </c>
      <c r="L154">
        <v>2022</v>
      </c>
    </row>
    <row r="155" spans="1:12" x14ac:dyDescent="0.3">
      <c r="A155" t="s">
        <v>47</v>
      </c>
      <c r="B155">
        <v>7</v>
      </c>
      <c r="C155" t="s">
        <v>48</v>
      </c>
      <c r="D155" t="s">
        <v>190</v>
      </c>
      <c r="E155" t="s">
        <v>284</v>
      </c>
      <c r="F155" t="s">
        <v>285</v>
      </c>
      <c r="G155" t="s">
        <v>17</v>
      </c>
      <c r="H155">
        <v>0</v>
      </c>
      <c r="I155">
        <v>23084</v>
      </c>
      <c r="J155">
        <v>1731383</v>
      </c>
      <c r="K155">
        <v>2</v>
      </c>
      <c r="L155">
        <v>2022</v>
      </c>
    </row>
    <row r="156" spans="1:12" x14ac:dyDescent="0.3">
      <c r="A156" t="s">
        <v>79</v>
      </c>
      <c r="B156">
        <v>9</v>
      </c>
      <c r="C156" t="s">
        <v>286</v>
      </c>
      <c r="D156" t="s">
        <v>81</v>
      </c>
      <c r="E156" t="s">
        <v>49</v>
      </c>
      <c r="F156" t="s">
        <v>50</v>
      </c>
      <c r="G156" t="s">
        <v>17</v>
      </c>
      <c r="H156">
        <v>0</v>
      </c>
      <c r="I156">
        <v>851652</v>
      </c>
      <c r="J156">
        <v>70230810</v>
      </c>
      <c r="K156">
        <v>12</v>
      </c>
      <c r="L156">
        <v>2022</v>
      </c>
    </row>
    <row r="157" spans="1:12" x14ac:dyDescent="0.3">
      <c r="A157" t="s">
        <v>58</v>
      </c>
      <c r="B157">
        <v>27</v>
      </c>
      <c r="C157" t="s">
        <v>287</v>
      </c>
      <c r="D157" t="s">
        <v>35</v>
      </c>
      <c r="E157" t="s">
        <v>61</v>
      </c>
      <c r="F157" t="s">
        <v>62</v>
      </c>
      <c r="G157" t="s">
        <v>17</v>
      </c>
      <c r="H157">
        <v>0</v>
      </c>
      <c r="I157">
        <v>181963</v>
      </c>
      <c r="J157">
        <v>13245617</v>
      </c>
      <c r="K157">
        <v>3</v>
      </c>
      <c r="L157">
        <v>2021</v>
      </c>
    </row>
    <row r="158" spans="1:12" x14ac:dyDescent="0.3">
      <c r="A158" t="s">
        <v>132</v>
      </c>
      <c r="B158">
        <v>19</v>
      </c>
      <c r="C158" t="s">
        <v>133</v>
      </c>
      <c r="D158" t="s">
        <v>288</v>
      </c>
      <c r="E158" t="s">
        <v>239</v>
      </c>
      <c r="F158" t="s">
        <v>240</v>
      </c>
      <c r="G158" t="s">
        <v>17</v>
      </c>
      <c r="H158">
        <v>0</v>
      </c>
      <c r="I158">
        <v>11972</v>
      </c>
      <c r="J158">
        <v>897804</v>
      </c>
      <c r="K158">
        <v>7</v>
      </c>
      <c r="L158">
        <v>2020</v>
      </c>
    </row>
    <row r="159" spans="1:12" x14ac:dyDescent="0.3">
      <c r="A159" t="s">
        <v>28</v>
      </c>
      <c r="B159">
        <v>29</v>
      </c>
      <c r="C159" t="s">
        <v>29</v>
      </c>
      <c r="D159" t="s">
        <v>289</v>
      </c>
      <c r="E159" t="s">
        <v>40</v>
      </c>
      <c r="F159" t="s">
        <v>41</v>
      </c>
      <c r="G159" t="s">
        <v>17</v>
      </c>
      <c r="H159">
        <v>0</v>
      </c>
      <c r="I159">
        <v>2117</v>
      </c>
      <c r="J159">
        <v>173416</v>
      </c>
      <c r="K159">
        <v>1</v>
      </c>
      <c r="L159">
        <v>2023</v>
      </c>
    </row>
    <row r="160" spans="1:12" x14ac:dyDescent="0.3">
      <c r="A160" t="s">
        <v>47</v>
      </c>
      <c r="B160">
        <v>7</v>
      </c>
      <c r="C160" t="s">
        <v>48</v>
      </c>
      <c r="D160" t="s">
        <v>265</v>
      </c>
      <c r="E160" t="s">
        <v>206</v>
      </c>
      <c r="F160" t="s">
        <v>207</v>
      </c>
      <c r="G160" t="s">
        <v>17</v>
      </c>
      <c r="H160">
        <v>0</v>
      </c>
      <c r="I160">
        <v>214</v>
      </c>
      <c r="J160">
        <v>15640</v>
      </c>
      <c r="K160">
        <v>1</v>
      </c>
      <c r="L160">
        <v>2021</v>
      </c>
    </row>
    <row r="161" spans="1:12" x14ac:dyDescent="0.3">
      <c r="A161" t="s">
        <v>132</v>
      </c>
      <c r="B161">
        <v>19</v>
      </c>
      <c r="C161" t="s">
        <v>133</v>
      </c>
      <c r="D161" t="s">
        <v>142</v>
      </c>
      <c r="E161" t="s">
        <v>61</v>
      </c>
      <c r="F161" t="s">
        <v>62</v>
      </c>
      <c r="G161" t="s">
        <v>17</v>
      </c>
      <c r="H161">
        <v>0</v>
      </c>
      <c r="I161">
        <v>24913</v>
      </c>
      <c r="J161">
        <v>1780078</v>
      </c>
      <c r="K161">
        <v>11</v>
      </c>
      <c r="L161">
        <v>2019</v>
      </c>
    </row>
    <row r="162" spans="1:12" x14ac:dyDescent="0.3">
      <c r="A162" t="s">
        <v>58</v>
      </c>
      <c r="B162">
        <v>27</v>
      </c>
      <c r="C162" t="s">
        <v>290</v>
      </c>
      <c r="D162" t="s">
        <v>291</v>
      </c>
      <c r="E162" t="s">
        <v>36</v>
      </c>
      <c r="F162" t="s">
        <v>37</v>
      </c>
      <c r="G162" t="s">
        <v>17</v>
      </c>
      <c r="H162">
        <v>0</v>
      </c>
      <c r="I162">
        <v>246009</v>
      </c>
      <c r="J162">
        <v>18071335</v>
      </c>
      <c r="K162">
        <v>10</v>
      </c>
      <c r="L162">
        <v>2020</v>
      </c>
    </row>
    <row r="163" spans="1:12" x14ac:dyDescent="0.3">
      <c r="A163" t="s">
        <v>47</v>
      </c>
      <c r="B163">
        <v>7</v>
      </c>
      <c r="C163" t="s">
        <v>51</v>
      </c>
      <c r="D163" t="s">
        <v>145</v>
      </c>
      <c r="E163" t="s">
        <v>146</v>
      </c>
      <c r="F163" t="s">
        <v>147</v>
      </c>
      <c r="G163" t="s">
        <v>17</v>
      </c>
      <c r="H163">
        <v>0</v>
      </c>
      <c r="I163">
        <v>27784</v>
      </c>
      <c r="J163">
        <v>2061162</v>
      </c>
      <c r="K163">
        <v>8</v>
      </c>
      <c r="L163">
        <v>2021</v>
      </c>
    </row>
    <row r="164" spans="1:12" x14ac:dyDescent="0.3">
      <c r="A164" t="s">
        <v>79</v>
      </c>
      <c r="B164">
        <v>9</v>
      </c>
      <c r="C164" t="s">
        <v>292</v>
      </c>
      <c r="D164" t="s">
        <v>105</v>
      </c>
      <c r="E164" t="s">
        <v>140</v>
      </c>
      <c r="F164" t="s">
        <v>141</v>
      </c>
      <c r="G164" t="s">
        <v>17</v>
      </c>
      <c r="H164">
        <v>0</v>
      </c>
      <c r="I164">
        <v>2369</v>
      </c>
      <c r="J164">
        <v>195067</v>
      </c>
      <c r="K164">
        <v>10</v>
      </c>
      <c r="L164">
        <v>2022</v>
      </c>
    </row>
    <row r="165" spans="1:12" x14ac:dyDescent="0.3">
      <c r="A165" t="s">
        <v>42</v>
      </c>
      <c r="B165">
        <v>33</v>
      </c>
      <c r="C165" t="s">
        <v>54</v>
      </c>
      <c r="D165" t="s">
        <v>293</v>
      </c>
      <c r="E165" t="s">
        <v>95</v>
      </c>
      <c r="F165" t="s">
        <v>96</v>
      </c>
      <c r="G165" t="s">
        <v>17</v>
      </c>
      <c r="H165">
        <v>0</v>
      </c>
      <c r="I165">
        <v>37642</v>
      </c>
      <c r="J165">
        <v>2690977</v>
      </c>
      <c r="K165">
        <v>2</v>
      </c>
      <c r="L165">
        <v>2020</v>
      </c>
    </row>
    <row r="166" spans="1:12" x14ac:dyDescent="0.3">
      <c r="A166" t="s">
        <v>42</v>
      </c>
      <c r="B166">
        <v>33</v>
      </c>
      <c r="C166" t="s">
        <v>250</v>
      </c>
      <c r="D166" t="s">
        <v>262</v>
      </c>
      <c r="E166" t="s">
        <v>116</v>
      </c>
      <c r="F166" t="s">
        <v>117</v>
      </c>
      <c r="G166" t="s">
        <v>17</v>
      </c>
      <c r="H166">
        <v>0</v>
      </c>
      <c r="I166">
        <v>6767</v>
      </c>
      <c r="J166">
        <v>523228</v>
      </c>
      <c r="K166">
        <v>5</v>
      </c>
      <c r="L166">
        <v>2022</v>
      </c>
    </row>
    <row r="167" spans="1:12" x14ac:dyDescent="0.3">
      <c r="A167" t="s">
        <v>58</v>
      </c>
      <c r="B167">
        <v>27</v>
      </c>
      <c r="C167" t="s">
        <v>125</v>
      </c>
      <c r="D167" t="s">
        <v>159</v>
      </c>
      <c r="E167" t="s">
        <v>121</v>
      </c>
      <c r="F167" t="s">
        <v>122</v>
      </c>
      <c r="G167" t="s">
        <v>17</v>
      </c>
      <c r="H167">
        <v>0</v>
      </c>
      <c r="I167">
        <v>11814</v>
      </c>
      <c r="J167">
        <v>882195</v>
      </c>
      <c r="K167">
        <v>8</v>
      </c>
      <c r="L167">
        <v>2020</v>
      </c>
    </row>
    <row r="168" spans="1:12" x14ac:dyDescent="0.3">
      <c r="A168" t="s">
        <v>42</v>
      </c>
      <c r="B168">
        <v>33</v>
      </c>
      <c r="C168" t="s">
        <v>176</v>
      </c>
      <c r="D168" t="s">
        <v>180</v>
      </c>
      <c r="E168" t="s">
        <v>116</v>
      </c>
      <c r="F168" t="s">
        <v>117</v>
      </c>
      <c r="G168" t="s">
        <v>17</v>
      </c>
      <c r="H168">
        <v>0</v>
      </c>
      <c r="I168">
        <v>470088</v>
      </c>
      <c r="J168">
        <v>35841639</v>
      </c>
      <c r="K168">
        <v>3</v>
      </c>
      <c r="L168">
        <v>2022</v>
      </c>
    </row>
    <row r="169" spans="1:12" x14ac:dyDescent="0.3">
      <c r="A169" t="s">
        <v>47</v>
      </c>
      <c r="B169">
        <v>7</v>
      </c>
      <c r="C169" t="s">
        <v>48</v>
      </c>
      <c r="D169" t="s">
        <v>294</v>
      </c>
      <c r="E169" t="s">
        <v>82</v>
      </c>
      <c r="F169" t="s">
        <v>83</v>
      </c>
      <c r="G169" t="s">
        <v>17</v>
      </c>
      <c r="H169">
        <v>0</v>
      </c>
      <c r="I169">
        <v>6719</v>
      </c>
      <c r="J169">
        <v>466545</v>
      </c>
      <c r="K169">
        <v>6</v>
      </c>
      <c r="L169">
        <v>2019</v>
      </c>
    </row>
    <row r="170" spans="1:12" x14ac:dyDescent="0.3">
      <c r="A170" t="s">
        <v>42</v>
      </c>
      <c r="B170">
        <v>33</v>
      </c>
      <c r="C170" t="s">
        <v>111</v>
      </c>
      <c r="D170" t="s">
        <v>35</v>
      </c>
      <c r="E170" t="s">
        <v>135</v>
      </c>
      <c r="F170" t="s">
        <v>136</v>
      </c>
      <c r="G170" t="s">
        <v>17</v>
      </c>
      <c r="H170">
        <v>0</v>
      </c>
      <c r="I170">
        <v>471</v>
      </c>
      <c r="J170">
        <v>32676</v>
      </c>
      <c r="K170">
        <v>6</v>
      </c>
      <c r="L170">
        <v>2019</v>
      </c>
    </row>
    <row r="171" spans="1:12" x14ac:dyDescent="0.3">
      <c r="A171" t="s">
        <v>47</v>
      </c>
      <c r="B171">
        <v>7</v>
      </c>
      <c r="C171" t="s">
        <v>48</v>
      </c>
      <c r="D171" t="s">
        <v>261</v>
      </c>
      <c r="E171" t="s">
        <v>106</v>
      </c>
      <c r="F171" t="s">
        <v>107</v>
      </c>
      <c r="G171" t="s">
        <v>17</v>
      </c>
      <c r="H171">
        <v>0</v>
      </c>
      <c r="I171">
        <v>24253</v>
      </c>
      <c r="J171">
        <v>1785774</v>
      </c>
      <c r="K171">
        <v>10</v>
      </c>
      <c r="L171">
        <v>2018</v>
      </c>
    </row>
    <row r="172" spans="1:12" x14ac:dyDescent="0.3">
      <c r="A172" t="s">
        <v>23</v>
      </c>
      <c r="B172">
        <v>24</v>
      </c>
      <c r="C172" t="s">
        <v>295</v>
      </c>
      <c r="D172" t="s">
        <v>262</v>
      </c>
      <c r="E172" t="s">
        <v>15</v>
      </c>
      <c r="F172" t="s">
        <v>16</v>
      </c>
      <c r="G172" t="s">
        <v>17</v>
      </c>
      <c r="H172">
        <v>0</v>
      </c>
      <c r="I172">
        <v>31289</v>
      </c>
      <c r="J172">
        <v>2228450</v>
      </c>
      <c r="K172">
        <v>2</v>
      </c>
      <c r="L172">
        <v>2019</v>
      </c>
    </row>
    <row r="173" spans="1:12" x14ac:dyDescent="0.3">
      <c r="A173" t="s">
        <v>58</v>
      </c>
      <c r="B173">
        <v>27</v>
      </c>
      <c r="C173" t="s">
        <v>125</v>
      </c>
      <c r="D173" t="s">
        <v>145</v>
      </c>
      <c r="E173" t="s">
        <v>36</v>
      </c>
      <c r="F173" t="s">
        <v>37</v>
      </c>
      <c r="G173" t="s">
        <v>17</v>
      </c>
      <c r="H173">
        <v>0</v>
      </c>
      <c r="I173">
        <v>10712</v>
      </c>
      <c r="J173">
        <v>762596</v>
      </c>
      <c r="K173">
        <v>12</v>
      </c>
      <c r="L173">
        <v>2019</v>
      </c>
    </row>
    <row r="174" spans="1:12" x14ac:dyDescent="0.3">
      <c r="A174" t="s">
        <v>42</v>
      </c>
      <c r="B174">
        <v>33</v>
      </c>
      <c r="C174" t="s">
        <v>152</v>
      </c>
      <c r="D174" t="s">
        <v>296</v>
      </c>
      <c r="E174" t="s">
        <v>178</v>
      </c>
      <c r="F174" t="s">
        <v>179</v>
      </c>
      <c r="G174" t="s">
        <v>17</v>
      </c>
      <c r="H174">
        <v>0</v>
      </c>
      <c r="I174">
        <v>4088</v>
      </c>
      <c r="J174">
        <v>291178</v>
      </c>
      <c r="K174">
        <v>2</v>
      </c>
      <c r="L174">
        <v>2019</v>
      </c>
    </row>
    <row r="175" spans="1:12" x14ac:dyDescent="0.3">
      <c r="A175" t="s">
        <v>58</v>
      </c>
      <c r="B175">
        <v>27</v>
      </c>
      <c r="C175" t="s">
        <v>125</v>
      </c>
      <c r="D175" t="s">
        <v>193</v>
      </c>
      <c r="E175" t="s">
        <v>31</v>
      </c>
      <c r="F175" t="s">
        <v>32</v>
      </c>
      <c r="G175" t="s">
        <v>17</v>
      </c>
      <c r="H175">
        <v>0</v>
      </c>
      <c r="I175">
        <v>734561</v>
      </c>
      <c r="J175">
        <v>60345565</v>
      </c>
      <c r="K175">
        <v>7</v>
      </c>
      <c r="L175">
        <v>2023</v>
      </c>
    </row>
    <row r="176" spans="1:12" x14ac:dyDescent="0.3">
      <c r="A176" t="s">
        <v>23</v>
      </c>
      <c r="B176">
        <v>24</v>
      </c>
      <c r="C176" t="s">
        <v>24</v>
      </c>
      <c r="D176" t="s">
        <v>190</v>
      </c>
      <c r="E176" t="s">
        <v>178</v>
      </c>
      <c r="F176" t="s">
        <v>179</v>
      </c>
      <c r="G176" t="s">
        <v>17</v>
      </c>
      <c r="H176">
        <v>0</v>
      </c>
      <c r="I176">
        <v>1627128</v>
      </c>
      <c r="J176">
        <v>121126044</v>
      </c>
      <c r="K176">
        <v>1</v>
      </c>
      <c r="L176">
        <v>2022</v>
      </c>
    </row>
    <row r="177" spans="1:12" x14ac:dyDescent="0.3">
      <c r="A177" t="s">
        <v>73</v>
      </c>
      <c r="B177">
        <v>3</v>
      </c>
      <c r="C177" t="s">
        <v>297</v>
      </c>
      <c r="D177" t="s">
        <v>134</v>
      </c>
      <c r="E177" t="s">
        <v>103</v>
      </c>
      <c r="F177" t="s">
        <v>104</v>
      </c>
      <c r="G177" t="s">
        <v>17</v>
      </c>
      <c r="H177">
        <v>0</v>
      </c>
      <c r="I177">
        <v>103475</v>
      </c>
      <c r="J177">
        <v>8078805</v>
      </c>
      <c r="K177">
        <v>6</v>
      </c>
      <c r="L177">
        <v>2022</v>
      </c>
    </row>
    <row r="178" spans="1:12" x14ac:dyDescent="0.3">
      <c r="A178" t="s">
        <v>33</v>
      </c>
      <c r="B178">
        <v>32</v>
      </c>
      <c r="C178" t="s">
        <v>34</v>
      </c>
      <c r="D178" t="s">
        <v>190</v>
      </c>
      <c r="E178" t="s">
        <v>298</v>
      </c>
      <c r="F178" t="s">
        <v>299</v>
      </c>
      <c r="G178" t="s">
        <v>17</v>
      </c>
      <c r="H178">
        <v>0</v>
      </c>
      <c r="I178">
        <v>6008</v>
      </c>
      <c r="J178">
        <v>478285</v>
      </c>
      <c r="K178">
        <v>7</v>
      </c>
      <c r="L178">
        <v>2022</v>
      </c>
    </row>
    <row r="179" spans="1:12" x14ac:dyDescent="0.3">
      <c r="A179" t="s">
        <v>79</v>
      </c>
      <c r="B179">
        <v>9</v>
      </c>
      <c r="C179" t="s">
        <v>162</v>
      </c>
      <c r="D179" t="s">
        <v>247</v>
      </c>
      <c r="E179" t="s">
        <v>15</v>
      </c>
      <c r="F179" t="s">
        <v>16</v>
      </c>
      <c r="G179" t="s">
        <v>17</v>
      </c>
      <c r="H179">
        <v>0</v>
      </c>
      <c r="I179">
        <v>33447</v>
      </c>
      <c r="J179">
        <v>2497518</v>
      </c>
      <c r="K179">
        <v>8</v>
      </c>
      <c r="L179">
        <v>2020</v>
      </c>
    </row>
    <row r="180" spans="1:12" x14ac:dyDescent="0.3">
      <c r="A180" t="s">
        <v>73</v>
      </c>
      <c r="B180">
        <v>3</v>
      </c>
      <c r="C180" t="s">
        <v>181</v>
      </c>
      <c r="D180" t="s">
        <v>241</v>
      </c>
      <c r="E180" t="s">
        <v>173</v>
      </c>
      <c r="F180" t="s">
        <v>174</v>
      </c>
      <c r="G180" t="s">
        <v>17</v>
      </c>
      <c r="H180">
        <v>0</v>
      </c>
      <c r="I180">
        <v>7399</v>
      </c>
      <c r="J180">
        <v>544226</v>
      </c>
      <c r="K180">
        <v>6</v>
      </c>
      <c r="L180">
        <v>2021</v>
      </c>
    </row>
    <row r="181" spans="1:12" x14ac:dyDescent="0.3">
      <c r="A181" t="s">
        <v>18</v>
      </c>
      <c r="B181">
        <v>6</v>
      </c>
      <c r="C181" t="s">
        <v>166</v>
      </c>
      <c r="D181" t="s">
        <v>118</v>
      </c>
      <c r="E181" t="s">
        <v>26</v>
      </c>
      <c r="F181" t="s">
        <v>27</v>
      </c>
      <c r="G181" t="s">
        <v>17</v>
      </c>
      <c r="H181">
        <v>0</v>
      </c>
      <c r="I181">
        <v>893546</v>
      </c>
      <c r="J181">
        <v>60576285</v>
      </c>
      <c r="K181">
        <v>6</v>
      </c>
      <c r="L181">
        <v>2018</v>
      </c>
    </row>
    <row r="182" spans="1:12" x14ac:dyDescent="0.3">
      <c r="A182" t="s">
        <v>23</v>
      </c>
      <c r="B182">
        <v>24</v>
      </c>
      <c r="C182" t="s">
        <v>69</v>
      </c>
      <c r="D182" t="s">
        <v>171</v>
      </c>
      <c r="E182" t="s">
        <v>116</v>
      </c>
      <c r="F182" t="s">
        <v>117</v>
      </c>
      <c r="G182" t="s">
        <v>17</v>
      </c>
      <c r="H182">
        <v>0</v>
      </c>
      <c r="I182">
        <v>480112</v>
      </c>
      <c r="J182">
        <v>33390133</v>
      </c>
      <c r="K182">
        <v>8</v>
      </c>
      <c r="L182">
        <v>2018</v>
      </c>
    </row>
    <row r="183" spans="1:12" x14ac:dyDescent="0.3">
      <c r="A183" t="s">
        <v>42</v>
      </c>
      <c r="B183">
        <v>33</v>
      </c>
      <c r="C183" t="s">
        <v>43</v>
      </c>
      <c r="D183" t="s">
        <v>118</v>
      </c>
      <c r="E183" t="s">
        <v>300</v>
      </c>
      <c r="F183" t="s">
        <v>301</v>
      </c>
      <c r="G183" t="s">
        <v>17</v>
      </c>
      <c r="H183">
        <v>0</v>
      </c>
      <c r="I183">
        <v>95948</v>
      </c>
      <c r="J183">
        <v>7943125</v>
      </c>
      <c r="K183">
        <v>8</v>
      </c>
      <c r="L183">
        <v>2023</v>
      </c>
    </row>
    <row r="184" spans="1:12" x14ac:dyDescent="0.3">
      <c r="A184" t="s">
        <v>28</v>
      </c>
      <c r="B184">
        <v>29</v>
      </c>
      <c r="C184" t="s">
        <v>29</v>
      </c>
      <c r="D184" t="s">
        <v>302</v>
      </c>
      <c r="E184" t="s">
        <v>278</v>
      </c>
      <c r="F184" t="s">
        <v>279</v>
      </c>
      <c r="G184" t="s">
        <v>17</v>
      </c>
      <c r="H184">
        <v>0</v>
      </c>
      <c r="I184">
        <v>448</v>
      </c>
      <c r="J184">
        <v>28527</v>
      </c>
      <c r="K184">
        <v>1</v>
      </c>
      <c r="L184">
        <v>2018</v>
      </c>
    </row>
    <row r="185" spans="1:12" x14ac:dyDescent="0.3">
      <c r="A185" t="s">
        <v>33</v>
      </c>
      <c r="B185">
        <v>32</v>
      </c>
      <c r="C185" t="s">
        <v>214</v>
      </c>
      <c r="D185" t="s">
        <v>217</v>
      </c>
      <c r="E185" t="s">
        <v>211</v>
      </c>
      <c r="F185" t="s">
        <v>212</v>
      </c>
      <c r="G185" t="s">
        <v>17</v>
      </c>
      <c r="H185">
        <v>0</v>
      </c>
      <c r="I185">
        <v>1176</v>
      </c>
      <c r="J185">
        <v>87629</v>
      </c>
      <c r="K185">
        <v>7</v>
      </c>
      <c r="L185">
        <v>2021</v>
      </c>
    </row>
    <row r="186" spans="1:12" x14ac:dyDescent="0.3">
      <c r="A186" t="s">
        <v>73</v>
      </c>
      <c r="B186">
        <v>3</v>
      </c>
      <c r="C186" t="s">
        <v>74</v>
      </c>
      <c r="D186" t="s">
        <v>70</v>
      </c>
      <c r="E186" t="s">
        <v>146</v>
      </c>
      <c r="F186" t="s">
        <v>147</v>
      </c>
      <c r="G186" t="s">
        <v>17</v>
      </c>
      <c r="H186">
        <v>0</v>
      </c>
      <c r="I186">
        <v>37965</v>
      </c>
      <c r="J186">
        <v>3126151</v>
      </c>
      <c r="K186">
        <v>5</v>
      </c>
      <c r="L186">
        <v>2023</v>
      </c>
    </row>
    <row r="187" spans="1:12" x14ac:dyDescent="0.3">
      <c r="A187" t="s">
        <v>47</v>
      </c>
      <c r="B187">
        <v>7</v>
      </c>
      <c r="C187" t="s">
        <v>48</v>
      </c>
      <c r="D187" t="s">
        <v>303</v>
      </c>
      <c r="E187" t="s">
        <v>298</v>
      </c>
      <c r="F187" t="s">
        <v>299</v>
      </c>
      <c r="G187" t="s">
        <v>17</v>
      </c>
      <c r="H187">
        <v>0</v>
      </c>
      <c r="I187">
        <v>6019</v>
      </c>
      <c r="J187">
        <v>492930</v>
      </c>
      <c r="K187">
        <v>1</v>
      </c>
      <c r="L187">
        <v>2023</v>
      </c>
    </row>
    <row r="188" spans="1:12" x14ac:dyDescent="0.3">
      <c r="A188" t="s">
        <v>79</v>
      </c>
      <c r="B188">
        <v>9</v>
      </c>
      <c r="C188" t="s">
        <v>162</v>
      </c>
      <c r="D188" t="s">
        <v>105</v>
      </c>
      <c r="E188" t="s">
        <v>116</v>
      </c>
      <c r="F188" t="s">
        <v>117</v>
      </c>
      <c r="G188" t="s">
        <v>17</v>
      </c>
      <c r="H188">
        <v>0</v>
      </c>
      <c r="I188">
        <v>15308</v>
      </c>
      <c r="J188">
        <v>1090297</v>
      </c>
      <c r="K188">
        <v>2</v>
      </c>
      <c r="L188">
        <v>2019</v>
      </c>
    </row>
    <row r="189" spans="1:12" x14ac:dyDescent="0.3">
      <c r="A189" t="s">
        <v>12</v>
      </c>
      <c r="B189">
        <v>8</v>
      </c>
      <c r="C189" t="s">
        <v>13</v>
      </c>
      <c r="D189" t="s">
        <v>294</v>
      </c>
      <c r="E189" t="s">
        <v>157</v>
      </c>
      <c r="F189" t="s">
        <v>158</v>
      </c>
      <c r="G189" t="s">
        <v>17</v>
      </c>
      <c r="H189">
        <v>0</v>
      </c>
      <c r="I189">
        <v>41965</v>
      </c>
      <c r="J189">
        <v>3126268</v>
      </c>
      <c r="K189">
        <v>11</v>
      </c>
      <c r="L189">
        <v>2021</v>
      </c>
    </row>
    <row r="190" spans="1:12" x14ac:dyDescent="0.3">
      <c r="A190" t="s">
        <v>23</v>
      </c>
      <c r="B190">
        <v>24</v>
      </c>
      <c r="C190" t="s">
        <v>24</v>
      </c>
      <c r="D190" t="s">
        <v>303</v>
      </c>
      <c r="E190" t="s">
        <v>178</v>
      </c>
      <c r="F190" t="s">
        <v>179</v>
      </c>
      <c r="G190" t="s">
        <v>17</v>
      </c>
      <c r="H190">
        <v>0</v>
      </c>
      <c r="I190">
        <v>414288</v>
      </c>
      <c r="J190">
        <v>30142126</v>
      </c>
      <c r="K190">
        <v>2</v>
      </c>
      <c r="L190">
        <v>2021</v>
      </c>
    </row>
    <row r="191" spans="1:12" x14ac:dyDescent="0.3">
      <c r="A191" t="s">
        <v>42</v>
      </c>
      <c r="B191">
        <v>33</v>
      </c>
      <c r="C191" t="s">
        <v>111</v>
      </c>
      <c r="D191" t="s">
        <v>304</v>
      </c>
      <c r="E191" t="s">
        <v>45</v>
      </c>
      <c r="F191" t="s">
        <v>46</v>
      </c>
      <c r="G191" t="s">
        <v>17</v>
      </c>
      <c r="H191">
        <v>0</v>
      </c>
      <c r="I191">
        <v>12</v>
      </c>
      <c r="J191">
        <v>863</v>
      </c>
      <c r="K191">
        <v>12</v>
      </c>
      <c r="L191">
        <v>2018</v>
      </c>
    </row>
    <row r="192" spans="1:12" x14ac:dyDescent="0.3">
      <c r="A192" t="s">
        <v>58</v>
      </c>
      <c r="B192">
        <v>27</v>
      </c>
      <c r="C192" t="s">
        <v>305</v>
      </c>
      <c r="D192" t="s">
        <v>243</v>
      </c>
      <c r="E192" t="s">
        <v>306</v>
      </c>
      <c r="F192" t="s">
        <v>307</v>
      </c>
      <c r="G192" t="s">
        <v>17</v>
      </c>
      <c r="H192">
        <v>0</v>
      </c>
      <c r="I192">
        <v>2470801</v>
      </c>
      <c r="J192">
        <v>171835568</v>
      </c>
      <c r="K192">
        <v>8</v>
      </c>
      <c r="L192">
        <v>2018</v>
      </c>
    </row>
    <row r="193" spans="1:12" x14ac:dyDescent="0.3">
      <c r="A193" t="s">
        <v>132</v>
      </c>
      <c r="B193">
        <v>19</v>
      </c>
      <c r="C193" t="s">
        <v>209</v>
      </c>
      <c r="D193" t="s">
        <v>90</v>
      </c>
      <c r="E193" t="s">
        <v>308</v>
      </c>
      <c r="F193" t="s">
        <v>309</v>
      </c>
      <c r="G193" t="s">
        <v>17</v>
      </c>
      <c r="H193">
        <v>0</v>
      </c>
      <c r="I193">
        <v>1294</v>
      </c>
      <c r="J193">
        <v>90300</v>
      </c>
      <c r="K193">
        <v>5</v>
      </c>
      <c r="L193">
        <v>2019</v>
      </c>
    </row>
    <row r="194" spans="1:12" x14ac:dyDescent="0.3">
      <c r="A194" t="s">
        <v>58</v>
      </c>
      <c r="B194">
        <v>27</v>
      </c>
      <c r="C194" t="s">
        <v>59</v>
      </c>
      <c r="D194" t="s">
        <v>184</v>
      </c>
      <c r="E194" t="s">
        <v>239</v>
      </c>
      <c r="F194" t="s">
        <v>240</v>
      </c>
      <c r="G194" t="s">
        <v>17</v>
      </c>
      <c r="H194">
        <v>0</v>
      </c>
      <c r="I194">
        <v>138775</v>
      </c>
      <c r="J194">
        <v>9879756</v>
      </c>
      <c r="K194">
        <v>12</v>
      </c>
      <c r="L194">
        <v>2019</v>
      </c>
    </row>
    <row r="195" spans="1:12" x14ac:dyDescent="0.3">
      <c r="A195" t="s">
        <v>58</v>
      </c>
      <c r="B195">
        <v>27</v>
      </c>
      <c r="C195" t="s">
        <v>310</v>
      </c>
      <c r="D195" t="s">
        <v>90</v>
      </c>
      <c r="E195" t="s">
        <v>227</v>
      </c>
      <c r="F195" t="s">
        <v>228</v>
      </c>
      <c r="G195" t="s">
        <v>17</v>
      </c>
      <c r="H195">
        <v>0</v>
      </c>
      <c r="I195">
        <v>7</v>
      </c>
      <c r="J195">
        <v>550</v>
      </c>
      <c r="K195">
        <v>12</v>
      </c>
      <c r="L195">
        <v>2022</v>
      </c>
    </row>
    <row r="196" spans="1:12" x14ac:dyDescent="0.3">
      <c r="A196" t="s">
        <v>275</v>
      </c>
      <c r="B196">
        <v>28</v>
      </c>
      <c r="C196" t="s">
        <v>276</v>
      </c>
      <c r="D196" t="s">
        <v>311</v>
      </c>
      <c r="E196" t="s">
        <v>273</v>
      </c>
      <c r="F196" t="s">
        <v>274</v>
      </c>
      <c r="G196" t="s">
        <v>17</v>
      </c>
      <c r="H196">
        <v>0</v>
      </c>
      <c r="I196">
        <v>88550</v>
      </c>
      <c r="J196">
        <v>6263431</v>
      </c>
      <c r="K196">
        <v>1</v>
      </c>
      <c r="L196">
        <v>2019</v>
      </c>
    </row>
    <row r="197" spans="1:12" x14ac:dyDescent="0.3">
      <c r="A197" t="s">
        <v>137</v>
      </c>
      <c r="B197">
        <v>36</v>
      </c>
      <c r="C197" t="s">
        <v>148</v>
      </c>
      <c r="D197" t="s">
        <v>180</v>
      </c>
      <c r="E197" t="s">
        <v>106</v>
      </c>
      <c r="F197" t="s">
        <v>107</v>
      </c>
      <c r="G197" t="s">
        <v>17</v>
      </c>
      <c r="H197">
        <v>0</v>
      </c>
      <c r="I197">
        <v>30507</v>
      </c>
      <c r="J197">
        <v>2285468</v>
      </c>
      <c r="K197">
        <v>10</v>
      </c>
      <c r="L197">
        <v>2021</v>
      </c>
    </row>
    <row r="198" spans="1:12" x14ac:dyDescent="0.3">
      <c r="A198" t="s">
        <v>47</v>
      </c>
      <c r="B198">
        <v>7</v>
      </c>
      <c r="C198" t="s">
        <v>48</v>
      </c>
      <c r="D198" t="s">
        <v>263</v>
      </c>
      <c r="E198" t="s">
        <v>173</v>
      </c>
      <c r="F198" t="s">
        <v>174</v>
      </c>
      <c r="G198" t="s">
        <v>17</v>
      </c>
      <c r="H198">
        <v>0</v>
      </c>
      <c r="I198">
        <v>13875</v>
      </c>
      <c r="J198">
        <v>1148678</v>
      </c>
      <c r="K198">
        <v>8</v>
      </c>
      <c r="L198">
        <v>2023</v>
      </c>
    </row>
    <row r="199" spans="1:12" x14ac:dyDescent="0.3">
      <c r="A199" t="s">
        <v>23</v>
      </c>
      <c r="B199">
        <v>24</v>
      </c>
      <c r="C199" t="s">
        <v>24</v>
      </c>
      <c r="D199" t="s">
        <v>294</v>
      </c>
      <c r="E199" t="s">
        <v>178</v>
      </c>
      <c r="F199" t="s">
        <v>179</v>
      </c>
      <c r="G199" t="s">
        <v>17</v>
      </c>
      <c r="H199">
        <v>0</v>
      </c>
      <c r="I199">
        <v>325378</v>
      </c>
      <c r="J199">
        <v>25885415</v>
      </c>
      <c r="K199">
        <v>8</v>
      </c>
      <c r="L199">
        <v>2022</v>
      </c>
    </row>
    <row r="200" spans="1:12" x14ac:dyDescent="0.3">
      <c r="A200" t="s">
        <v>18</v>
      </c>
      <c r="B200">
        <v>6</v>
      </c>
      <c r="C200" t="s">
        <v>97</v>
      </c>
      <c r="D200" t="s">
        <v>14</v>
      </c>
      <c r="E200" t="s">
        <v>15</v>
      </c>
      <c r="F200" t="s">
        <v>16</v>
      </c>
      <c r="G200" t="s">
        <v>17</v>
      </c>
      <c r="H200">
        <v>0</v>
      </c>
      <c r="I200">
        <v>7</v>
      </c>
      <c r="J200">
        <v>488</v>
      </c>
      <c r="K200">
        <v>2</v>
      </c>
      <c r="L200">
        <v>2020</v>
      </c>
    </row>
    <row r="201" spans="1:12" x14ac:dyDescent="0.3">
      <c r="A201" t="s">
        <v>137</v>
      </c>
      <c r="B201">
        <v>36</v>
      </c>
      <c r="C201" t="s">
        <v>148</v>
      </c>
      <c r="D201" t="s">
        <v>142</v>
      </c>
      <c r="E201" t="s">
        <v>52</v>
      </c>
      <c r="F201" t="s">
        <v>53</v>
      </c>
      <c r="G201" t="s">
        <v>17</v>
      </c>
      <c r="H201">
        <v>0</v>
      </c>
      <c r="I201">
        <v>213881</v>
      </c>
      <c r="J201">
        <v>13768316</v>
      </c>
      <c r="K201">
        <v>2</v>
      </c>
      <c r="L201">
        <v>2018</v>
      </c>
    </row>
    <row r="202" spans="1:12" x14ac:dyDescent="0.3">
      <c r="A202" t="s">
        <v>12</v>
      </c>
      <c r="B202">
        <v>8</v>
      </c>
      <c r="C202" t="s">
        <v>13</v>
      </c>
      <c r="D202" t="s">
        <v>145</v>
      </c>
      <c r="E202" t="s">
        <v>15</v>
      </c>
      <c r="F202" t="s">
        <v>16</v>
      </c>
      <c r="G202" t="s">
        <v>17</v>
      </c>
      <c r="H202">
        <v>0</v>
      </c>
      <c r="I202">
        <v>16908</v>
      </c>
      <c r="J202">
        <v>1203727</v>
      </c>
      <c r="K202">
        <v>12</v>
      </c>
      <c r="L202">
        <v>2019</v>
      </c>
    </row>
    <row r="203" spans="1:12" x14ac:dyDescent="0.3">
      <c r="A203" t="s">
        <v>28</v>
      </c>
      <c r="B203">
        <v>29</v>
      </c>
      <c r="C203" t="s">
        <v>312</v>
      </c>
      <c r="D203" t="s">
        <v>208</v>
      </c>
      <c r="E203" t="s">
        <v>135</v>
      </c>
      <c r="F203" t="s">
        <v>136</v>
      </c>
      <c r="G203" t="s">
        <v>17</v>
      </c>
      <c r="H203">
        <v>0</v>
      </c>
      <c r="I203">
        <v>806</v>
      </c>
      <c r="J203">
        <v>58707</v>
      </c>
      <c r="K203">
        <v>3</v>
      </c>
      <c r="L203">
        <v>2021</v>
      </c>
    </row>
    <row r="204" spans="1:12" x14ac:dyDescent="0.3">
      <c r="A204" t="s">
        <v>73</v>
      </c>
      <c r="B204">
        <v>3</v>
      </c>
      <c r="C204" t="s">
        <v>181</v>
      </c>
      <c r="D204" t="s">
        <v>89</v>
      </c>
      <c r="E204" t="s">
        <v>99</v>
      </c>
      <c r="F204" t="s">
        <v>100</v>
      </c>
      <c r="G204" t="s">
        <v>17</v>
      </c>
      <c r="H204">
        <v>0</v>
      </c>
      <c r="I204">
        <v>364</v>
      </c>
      <c r="J204">
        <v>27689</v>
      </c>
      <c r="K204">
        <v>4</v>
      </c>
      <c r="L204">
        <v>2022</v>
      </c>
    </row>
    <row r="205" spans="1:12" x14ac:dyDescent="0.3">
      <c r="A205" t="s">
        <v>33</v>
      </c>
      <c r="B205">
        <v>32</v>
      </c>
      <c r="C205" t="s">
        <v>34</v>
      </c>
      <c r="D205" t="s">
        <v>153</v>
      </c>
      <c r="E205" t="s">
        <v>95</v>
      </c>
      <c r="F205" t="s">
        <v>96</v>
      </c>
      <c r="G205" t="s">
        <v>17</v>
      </c>
      <c r="H205">
        <v>0</v>
      </c>
      <c r="I205">
        <v>239649</v>
      </c>
      <c r="J205">
        <v>19227437</v>
      </c>
      <c r="K205">
        <v>9</v>
      </c>
      <c r="L205">
        <v>2022</v>
      </c>
    </row>
    <row r="206" spans="1:12" x14ac:dyDescent="0.3">
      <c r="A206" t="s">
        <v>42</v>
      </c>
      <c r="B206">
        <v>33</v>
      </c>
      <c r="C206" t="s">
        <v>238</v>
      </c>
      <c r="D206" t="s">
        <v>251</v>
      </c>
      <c r="E206" t="s">
        <v>61</v>
      </c>
      <c r="F206" t="s">
        <v>62</v>
      </c>
      <c r="G206" t="s">
        <v>17</v>
      </c>
      <c r="H206">
        <v>0</v>
      </c>
      <c r="I206">
        <v>121832</v>
      </c>
      <c r="J206">
        <v>9978026</v>
      </c>
      <c r="K206">
        <v>1</v>
      </c>
      <c r="L206">
        <v>2023</v>
      </c>
    </row>
    <row r="207" spans="1:12" x14ac:dyDescent="0.3">
      <c r="A207" t="s">
        <v>23</v>
      </c>
      <c r="B207">
        <v>24</v>
      </c>
      <c r="C207" t="s">
        <v>38</v>
      </c>
      <c r="D207" t="s">
        <v>293</v>
      </c>
      <c r="E207" t="s">
        <v>278</v>
      </c>
      <c r="F207" t="s">
        <v>279</v>
      </c>
      <c r="G207" t="s">
        <v>17</v>
      </c>
      <c r="H207">
        <v>0</v>
      </c>
      <c r="I207">
        <v>891</v>
      </c>
      <c r="J207">
        <v>66105</v>
      </c>
      <c r="K207">
        <v>11</v>
      </c>
      <c r="L207">
        <v>2020</v>
      </c>
    </row>
    <row r="208" spans="1:12" x14ac:dyDescent="0.3">
      <c r="A208" t="s">
        <v>47</v>
      </c>
      <c r="B208">
        <v>7</v>
      </c>
      <c r="C208" t="s">
        <v>48</v>
      </c>
      <c r="D208" t="s">
        <v>30</v>
      </c>
      <c r="E208" t="s">
        <v>26</v>
      </c>
      <c r="F208" t="s">
        <v>27</v>
      </c>
      <c r="G208" t="s">
        <v>17</v>
      </c>
      <c r="H208">
        <v>0</v>
      </c>
      <c r="I208">
        <v>675010</v>
      </c>
      <c r="J208">
        <v>49456452</v>
      </c>
      <c r="K208">
        <v>5</v>
      </c>
      <c r="L208">
        <v>2021</v>
      </c>
    </row>
    <row r="209" spans="1:12" x14ac:dyDescent="0.3">
      <c r="A209" t="s">
        <v>58</v>
      </c>
      <c r="B209">
        <v>27</v>
      </c>
      <c r="C209" t="s">
        <v>125</v>
      </c>
      <c r="D209" t="s">
        <v>313</v>
      </c>
      <c r="E209" t="s">
        <v>56</v>
      </c>
      <c r="F209" t="s">
        <v>57</v>
      </c>
      <c r="G209" t="s">
        <v>17</v>
      </c>
      <c r="H209">
        <v>0</v>
      </c>
      <c r="I209">
        <v>208</v>
      </c>
      <c r="J209">
        <v>15263</v>
      </c>
      <c r="K209">
        <v>5</v>
      </c>
      <c r="L209">
        <v>2021</v>
      </c>
    </row>
    <row r="210" spans="1:12" x14ac:dyDescent="0.3">
      <c r="A210" t="s">
        <v>58</v>
      </c>
      <c r="B210">
        <v>27</v>
      </c>
      <c r="C210" t="s">
        <v>125</v>
      </c>
      <c r="D210" t="s">
        <v>268</v>
      </c>
      <c r="E210" t="s">
        <v>95</v>
      </c>
      <c r="F210" t="s">
        <v>96</v>
      </c>
      <c r="G210" t="s">
        <v>17</v>
      </c>
      <c r="H210">
        <v>0</v>
      </c>
      <c r="I210">
        <v>549</v>
      </c>
      <c r="J210">
        <v>39960</v>
      </c>
      <c r="K210">
        <v>2</v>
      </c>
      <c r="L210">
        <v>2021</v>
      </c>
    </row>
    <row r="211" spans="1:12" x14ac:dyDescent="0.3">
      <c r="A211" t="s">
        <v>58</v>
      </c>
      <c r="B211">
        <v>27</v>
      </c>
      <c r="C211" t="s">
        <v>216</v>
      </c>
      <c r="D211" t="s">
        <v>142</v>
      </c>
      <c r="E211" t="s">
        <v>26</v>
      </c>
      <c r="F211" t="s">
        <v>27</v>
      </c>
      <c r="G211" t="s">
        <v>17</v>
      </c>
      <c r="H211">
        <v>0</v>
      </c>
      <c r="I211">
        <v>747</v>
      </c>
      <c r="J211">
        <v>61601</v>
      </c>
      <c r="K211">
        <v>12</v>
      </c>
      <c r="L211">
        <v>2022</v>
      </c>
    </row>
    <row r="212" spans="1:12" x14ac:dyDescent="0.3">
      <c r="A212" t="s">
        <v>33</v>
      </c>
      <c r="B212">
        <v>32</v>
      </c>
      <c r="C212" t="s">
        <v>214</v>
      </c>
      <c r="D212" t="s">
        <v>98</v>
      </c>
      <c r="E212" t="s">
        <v>106</v>
      </c>
      <c r="F212" t="s">
        <v>107</v>
      </c>
      <c r="G212" t="s">
        <v>17</v>
      </c>
      <c r="H212">
        <v>0</v>
      </c>
      <c r="I212">
        <v>123905</v>
      </c>
      <c r="J212">
        <v>9580235</v>
      </c>
      <c r="K212">
        <v>5</v>
      </c>
      <c r="L212">
        <v>2022</v>
      </c>
    </row>
    <row r="213" spans="1:12" x14ac:dyDescent="0.3">
      <c r="A213" t="s">
        <v>28</v>
      </c>
      <c r="B213">
        <v>29</v>
      </c>
      <c r="C213" t="s">
        <v>29</v>
      </c>
      <c r="D213" t="s">
        <v>153</v>
      </c>
      <c r="E213" t="s">
        <v>86</v>
      </c>
      <c r="F213" t="s">
        <v>87</v>
      </c>
      <c r="G213" t="s">
        <v>17</v>
      </c>
      <c r="H213">
        <v>0</v>
      </c>
      <c r="I213">
        <v>681924</v>
      </c>
      <c r="J213">
        <v>50161149</v>
      </c>
      <c r="K213">
        <v>6</v>
      </c>
      <c r="L213">
        <v>2021</v>
      </c>
    </row>
    <row r="214" spans="1:12" x14ac:dyDescent="0.3">
      <c r="A214" t="s">
        <v>73</v>
      </c>
      <c r="B214">
        <v>3</v>
      </c>
      <c r="C214" t="s">
        <v>314</v>
      </c>
      <c r="D214" t="s">
        <v>190</v>
      </c>
      <c r="E214" t="s">
        <v>211</v>
      </c>
      <c r="F214" t="s">
        <v>212</v>
      </c>
      <c r="G214" t="s">
        <v>17</v>
      </c>
      <c r="H214">
        <v>0</v>
      </c>
      <c r="I214">
        <v>43</v>
      </c>
      <c r="J214">
        <v>3345</v>
      </c>
      <c r="K214">
        <v>5</v>
      </c>
      <c r="L214">
        <v>2022</v>
      </c>
    </row>
    <row r="215" spans="1:12" x14ac:dyDescent="0.3">
      <c r="A215" t="s">
        <v>58</v>
      </c>
      <c r="B215">
        <v>27</v>
      </c>
      <c r="C215" t="s">
        <v>125</v>
      </c>
      <c r="D215" t="s">
        <v>315</v>
      </c>
      <c r="E215" t="s">
        <v>40</v>
      </c>
      <c r="F215" t="s">
        <v>41</v>
      </c>
      <c r="G215" t="s">
        <v>17</v>
      </c>
      <c r="H215">
        <v>0</v>
      </c>
      <c r="I215">
        <v>2193</v>
      </c>
      <c r="J215">
        <v>180612</v>
      </c>
      <c r="K215">
        <v>5</v>
      </c>
      <c r="L215">
        <v>2023</v>
      </c>
    </row>
    <row r="216" spans="1:12" x14ac:dyDescent="0.3">
      <c r="A216" t="s">
        <v>33</v>
      </c>
      <c r="B216">
        <v>32</v>
      </c>
      <c r="C216" t="s">
        <v>316</v>
      </c>
      <c r="D216" t="s">
        <v>172</v>
      </c>
      <c r="E216" t="s">
        <v>106</v>
      </c>
      <c r="F216" t="s">
        <v>107</v>
      </c>
      <c r="G216" t="s">
        <v>17</v>
      </c>
      <c r="H216">
        <v>0</v>
      </c>
      <c r="I216">
        <v>68248</v>
      </c>
      <c r="J216">
        <v>5000360</v>
      </c>
      <c r="K216">
        <v>5</v>
      </c>
      <c r="L216">
        <v>2021</v>
      </c>
    </row>
    <row r="217" spans="1:12" x14ac:dyDescent="0.3">
      <c r="A217" t="s">
        <v>58</v>
      </c>
      <c r="B217">
        <v>27</v>
      </c>
      <c r="C217" t="s">
        <v>125</v>
      </c>
      <c r="D217" t="s">
        <v>317</v>
      </c>
      <c r="E217" t="s">
        <v>61</v>
      </c>
      <c r="F217" t="s">
        <v>62</v>
      </c>
      <c r="G217" t="s">
        <v>17</v>
      </c>
      <c r="H217">
        <v>0</v>
      </c>
      <c r="I217">
        <v>259063</v>
      </c>
      <c r="J217">
        <v>21400777</v>
      </c>
      <c r="K217">
        <v>2</v>
      </c>
      <c r="L217">
        <v>2023</v>
      </c>
    </row>
    <row r="218" spans="1:12" x14ac:dyDescent="0.3">
      <c r="A218" t="s">
        <v>28</v>
      </c>
      <c r="B218">
        <v>29</v>
      </c>
      <c r="C218" t="s">
        <v>29</v>
      </c>
      <c r="D218" t="s">
        <v>25</v>
      </c>
      <c r="E218" t="s">
        <v>95</v>
      </c>
      <c r="F218" t="s">
        <v>96</v>
      </c>
      <c r="G218" t="s">
        <v>17</v>
      </c>
      <c r="H218">
        <v>0</v>
      </c>
      <c r="I218">
        <v>28213</v>
      </c>
      <c r="J218">
        <v>1995553</v>
      </c>
      <c r="K218">
        <v>1</v>
      </c>
      <c r="L218">
        <v>2019</v>
      </c>
    </row>
    <row r="219" spans="1:12" x14ac:dyDescent="0.3">
      <c r="A219" t="s">
        <v>73</v>
      </c>
      <c r="B219">
        <v>3</v>
      </c>
      <c r="C219" t="s">
        <v>297</v>
      </c>
      <c r="D219" t="s">
        <v>35</v>
      </c>
      <c r="E219" t="s">
        <v>168</v>
      </c>
      <c r="F219" t="s">
        <v>169</v>
      </c>
      <c r="G219" t="s">
        <v>17</v>
      </c>
      <c r="H219">
        <v>0</v>
      </c>
      <c r="I219">
        <v>72969</v>
      </c>
      <c r="J219">
        <v>5183657</v>
      </c>
      <c r="K219">
        <v>10</v>
      </c>
      <c r="L219">
        <v>2019</v>
      </c>
    </row>
    <row r="220" spans="1:12" x14ac:dyDescent="0.3">
      <c r="A220" t="s">
        <v>47</v>
      </c>
      <c r="B220">
        <v>7</v>
      </c>
      <c r="C220" t="s">
        <v>51</v>
      </c>
      <c r="D220" t="s">
        <v>198</v>
      </c>
      <c r="E220" t="s">
        <v>140</v>
      </c>
      <c r="F220" t="s">
        <v>141</v>
      </c>
      <c r="G220" t="s">
        <v>17</v>
      </c>
      <c r="H220">
        <v>0</v>
      </c>
      <c r="I220">
        <v>18458</v>
      </c>
      <c r="J220">
        <v>1528020</v>
      </c>
      <c r="K220">
        <v>8</v>
      </c>
      <c r="L220">
        <v>2023</v>
      </c>
    </row>
    <row r="221" spans="1:12" x14ac:dyDescent="0.3">
      <c r="A221" t="s">
        <v>132</v>
      </c>
      <c r="B221">
        <v>19</v>
      </c>
      <c r="C221" t="s">
        <v>209</v>
      </c>
      <c r="D221" t="s">
        <v>194</v>
      </c>
      <c r="E221" t="s">
        <v>61</v>
      </c>
      <c r="F221" t="s">
        <v>62</v>
      </c>
      <c r="G221" t="s">
        <v>17</v>
      </c>
      <c r="H221">
        <v>0</v>
      </c>
      <c r="I221">
        <v>341762</v>
      </c>
      <c r="J221">
        <v>25880506</v>
      </c>
      <c r="K221">
        <v>6</v>
      </c>
      <c r="L221">
        <v>2020</v>
      </c>
    </row>
    <row r="222" spans="1:12" x14ac:dyDescent="0.3">
      <c r="A222" t="s">
        <v>28</v>
      </c>
      <c r="B222">
        <v>29</v>
      </c>
      <c r="C222" t="s">
        <v>29</v>
      </c>
      <c r="D222" t="s">
        <v>145</v>
      </c>
      <c r="E222" t="s">
        <v>318</v>
      </c>
      <c r="F222" t="s">
        <v>319</v>
      </c>
      <c r="G222" t="s">
        <v>17</v>
      </c>
      <c r="H222">
        <v>0</v>
      </c>
      <c r="I222">
        <v>3535</v>
      </c>
      <c r="J222">
        <v>243211</v>
      </c>
      <c r="K222">
        <v>7</v>
      </c>
      <c r="L222">
        <v>2019</v>
      </c>
    </row>
    <row r="223" spans="1:12" x14ac:dyDescent="0.3">
      <c r="A223" t="s">
        <v>58</v>
      </c>
      <c r="B223">
        <v>27</v>
      </c>
      <c r="C223" t="s">
        <v>59</v>
      </c>
      <c r="D223" t="s">
        <v>320</v>
      </c>
      <c r="E223" t="s">
        <v>173</v>
      </c>
      <c r="F223" t="s">
        <v>174</v>
      </c>
      <c r="G223" t="s">
        <v>17</v>
      </c>
      <c r="H223">
        <v>0</v>
      </c>
      <c r="I223">
        <v>42170</v>
      </c>
      <c r="J223">
        <v>3458787</v>
      </c>
      <c r="K223">
        <v>4</v>
      </c>
      <c r="L223">
        <v>2023</v>
      </c>
    </row>
    <row r="224" spans="1:12" x14ac:dyDescent="0.3">
      <c r="A224" t="s">
        <v>47</v>
      </c>
      <c r="B224">
        <v>7</v>
      </c>
      <c r="C224" t="s">
        <v>51</v>
      </c>
      <c r="D224" t="s">
        <v>190</v>
      </c>
      <c r="E224" t="s">
        <v>187</v>
      </c>
      <c r="F224" t="s">
        <v>188</v>
      </c>
      <c r="G224" t="s">
        <v>17</v>
      </c>
      <c r="H224">
        <v>0</v>
      </c>
      <c r="I224">
        <v>124083</v>
      </c>
      <c r="J224">
        <v>8657635</v>
      </c>
      <c r="K224">
        <v>5</v>
      </c>
      <c r="L224">
        <v>2019</v>
      </c>
    </row>
    <row r="225" spans="1:12" x14ac:dyDescent="0.3">
      <c r="A225" t="s">
        <v>23</v>
      </c>
      <c r="B225">
        <v>24</v>
      </c>
      <c r="C225" t="s">
        <v>218</v>
      </c>
      <c r="D225" t="s">
        <v>321</v>
      </c>
      <c r="E225" t="s">
        <v>86</v>
      </c>
      <c r="F225" t="s">
        <v>87</v>
      </c>
      <c r="G225" t="s">
        <v>17</v>
      </c>
      <c r="H225">
        <v>0</v>
      </c>
      <c r="I225">
        <v>17141</v>
      </c>
      <c r="J225">
        <v>1192122</v>
      </c>
      <c r="K225">
        <v>8</v>
      </c>
      <c r="L225">
        <v>2018</v>
      </c>
    </row>
    <row r="226" spans="1:12" x14ac:dyDescent="0.3">
      <c r="A226" t="s">
        <v>23</v>
      </c>
      <c r="B226">
        <v>24</v>
      </c>
      <c r="C226" t="s">
        <v>24</v>
      </c>
      <c r="D226" t="s">
        <v>289</v>
      </c>
      <c r="E226" t="s">
        <v>77</v>
      </c>
      <c r="F226" t="s">
        <v>78</v>
      </c>
      <c r="G226" t="s">
        <v>17</v>
      </c>
      <c r="H226">
        <v>0</v>
      </c>
      <c r="I226">
        <v>52053</v>
      </c>
      <c r="J226">
        <v>3823731</v>
      </c>
      <c r="K226">
        <v>10</v>
      </c>
      <c r="L226">
        <v>2020</v>
      </c>
    </row>
    <row r="227" spans="1:12" x14ac:dyDescent="0.3">
      <c r="A227" t="s">
        <v>73</v>
      </c>
      <c r="B227">
        <v>3</v>
      </c>
      <c r="C227" t="s">
        <v>74</v>
      </c>
      <c r="D227" t="s">
        <v>229</v>
      </c>
      <c r="E227" t="s">
        <v>157</v>
      </c>
      <c r="F227" t="s">
        <v>158</v>
      </c>
      <c r="G227" t="s">
        <v>17</v>
      </c>
      <c r="H227">
        <v>0</v>
      </c>
      <c r="I227">
        <v>1134</v>
      </c>
      <c r="J227">
        <v>90299</v>
      </c>
      <c r="K227">
        <v>7</v>
      </c>
      <c r="L227">
        <v>2022</v>
      </c>
    </row>
    <row r="228" spans="1:12" x14ac:dyDescent="0.3">
      <c r="A228" t="s">
        <v>47</v>
      </c>
      <c r="B228">
        <v>7</v>
      </c>
      <c r="C228" t="s">
        <v>48</v>
      </c>
      <c r="D228" t="s">
        <v>265</v>
      </c>
      <c r="E228" t="s">
        <v>282</v>
      </c>
      <c r="F228" t="s">
        <v>283</v>
      </c>
      <c r="G228" t="s">
        <v>17</v>
      </c>
      <c r="H228">
        <v>0</v>
      </c>
      <c r="I228">
        <v>8709</v>
      </c>
      <c r="J228">
        <v>639731</v>
      </c>
      <c r="K228">
        <v>10</v>
      </c>
      <c r="L228">
        <v>2020</v>
      </c>
    </row>
    <row r="229" spans="1:12" x14ac:dyDescent="0.3">
      <c r="A229" t="s">
        <v>58</v>
      </c>
      <c r="B229">
        <v>27</v>
      </c>
      <c r="C229" t="s">
        <v>59</v>
      </c>
      <c r="D229" t="s">
        <v>20</v>
      </c>
      <c r="E229" t="s">
        <v>284</v>
      </c>
      <c r="F229" t="s">
        <v>285</v>
      </c>
      <c r="G229" t="s">
        <v>17</v>
      </c>
      <c r="H229">
        <v>0</v>
      </c>
      <c r="I229">
        <v>42730</v>
      </c>
      <c r="J229">
        <v>3085742</v>
      </c>
      <c r="K229">
        <v>9</v>
      </c>
      <c r="L229">
        <v>2018</v>
      </c>
    </row>
    <row r="230" spans="1:12" x14ac:dyDescent="0.3">
      <c r="A230" t="s">
        <v>58</v>
      </c>
      <c r="B230">
        <v>27</v>
      </c>
      <c r="C230" t="s">
        <v>129</v>
      </c>
      <c r="D230" t="s">
        <v>105</v>
      </c>
      <c r="E230" t="s">
        <v>86</v>
      </c>
      <c r="F230" t="s">
        <v>87</v>
      </c>
      <c r="G230" t="s">
        <v>17</v>
      </c>
      <c r="H230">
        <v>0</v>
      </c>
      <c r="I230">
        <v>14032</v>
      </c>
      <c r="J230">
        <v>1021456</v>
      </c>
      <c r="K230">
        <v>3</v>
      </c>
      <c r="L230">
        <v>2021</v>
      </c>
    </row>
    <row r="231" spans="1:12" x14ac:dyDescent="0.3">
      <c r="A231" t="s">
        <v>18</v>
      </c>
      <c r="B231">
        <v>6</v>
      </c>
      <c r="C231" t="s">
        <v>19</v>
      </c>
      <c r="D231" t="s">
        <v>134</v>
      </c>
      <c r="E231" t="s">
        <v>146</v>
      </c>
      <c r="F231" t="s">
        <v>147</v>
      </c>
      <c r="G231" t="s">
        <v>17</v>
      </c>
      <c r="H231">
        <v>0</v>
      </c>
      <c r="I231">
        <v>121018</v>
      </c>
      <c r="J231">
        <v>8609885</v>
      </c>
      <c r="K231">
        <v>8</v>
      </c>
      <c r="L231">
        <v>2019</v>
      </c>
    </row>
    <row r="232" spans="1:12" x14ac:dyDescent="0.3">
      <c r="A232" t="s">
        <v>58</v>
      </c>
      <c r="B232">
        <v>27</v>
      </c>
      <c r="C232" t="s">
        <v>216</v>
      </c>
      <c r="D232" t="s">
        <v>60</v>
      </c>
      <c r="E232" t="s">
        <v>300</v>
      </c>
      <c r="F232" t="s">
        <v>301</v>
      </c>
      <c r="G232" t="s">
        <v>17</v>
      </c>
      <c r="H232">
        <v>0</v>
      </c>
      <c r="I232">
        <v>32551</v>
      </c>
      <c r="J232">
        <v>2438532</v>
      </c>
      <c r="K232">
        <v>10</v>
      </c>
      <c r="L232">
        <v>2021</v>
      </c>
    </row>
    <row r="233" spans="1:12" x14ac:dyDescent="0.3">
      <c r="A233" t="s">
        <v>23</v>
      </c>
      <c r="B233">
        <v>24</v>
      </c>
      <c r="C233" t="s">
        <v>218</v>
      </c>
      <c r="D233" t="s">
        <v>25</v>
      </c>
      <c r="E233" t="s">
        <v>195</v>
      </c>
      <c r="F233" t="s">
        <v>196</v>
      </c>
      <c r="G233" t="s">
        <v>17</v>
      </c>
      <c r="H233">
        <v>0</v>
      </c>
      <c r="I233">
        <v>415</v>
      </c>
      <c r="J233">
        <v>30562</v>
      </c>
      <c r="K233">
        <v>6</v>
      </c>
      <c r="L233">
        <v>2021</v>
      </c>
    </row>
    <row r="234" spans="1:12" x14ac:dyDescent="0.3">
      <c r="A234" t="s">
        <v>137</v>
      </c>
      <c r="B234">
        <v>36</v>
      </c>
      <c r="C234" t="s">
        <v>138</v>
      </c>
      <c r="D234" t="s">
        <v>263</v>
      </c>
      <c r="E234" t="s">
        <v>206</v>
      </c>
      <c r="F234" t="s">
        <v>207</v>
      </c>
      <c r="G234" t="s">
        <v>17</v>
      </c>
      <c r="H234">
        <v>0</v>
      </c>
      <c r="I234">
        <v>327</v>
      </c>
      <c r="J234">
        <v>27109</v>
      </c>
      <c r="K234">
        <v>8</v>
      </c>
      <c r="L234">
        <v>2023</v>
      </c>
    </row>
    <row r="235" spans="1:12" x14ac:dyDescent="0.3">
      <c r="A235" t="s">
        <v>47</v>
      </c>
      <c r="B235">
        <v>7</v>
      </c>
      <c r="C235" t="s">
        <v>48</v>
      </c>
      <c r="D235" t="s">
        <v>317</v>
      </c>
      <c r="E235" t="s">
        <v>113</v>
      </c>
      <c r="F235" t="s">
        <v>114</v>
      </c>
      <c r="G235" t="s">
        <v>17</v>
      </c>
      <c r="H235">
        <v>0</v>
      </c>
      <c r="I235">
        <v>658</v>
      </c>
      <c r="J235">
        <v>47505</v>
      </c>
      <c r="K235">
        <v>9</v>
      </c>
      <c r="L235">
        <v>2018</v>
      </c>
    </row>
    <row r="236" spans="1:12" x14ac:dyDescent="0.3">
      <c r="A236" t="s">
        <v>18</v>
      </c>
      <c r="B236">
        <v>6</v>
      </c>
      <c r="C236" t="s">
        <v>233</v>
      </c>
      <c r="D236" t="s">
        <v>194</v>
      </c>
      <c r="E236" t="s">
        <v>106</v>
      </c>
      <c r="F236" t="s">
        <v>107</v>
      </c>
      <c r="G236" t="s">
        <v>17</v>
      </c>
      <c r="H236">
        <v>0</v>
      </c>
      <c r="I236">
        <v>948</v>
      </c>
      <c r="J236">
        <v>71814</v>
      </c>
      <c r="K236">
        <v>6</v>
      </c>
      <c r="L236">
        <v>2020</v>
      </c>
    </row>
    <row r="237" spans="1:12" x14ac:dyDescent="0.3">
      <c r="A237" t="s">
        <v>12</v>
      </c>
      <c r="B237">
        <v>8</v>
      </c>
      <c r="C237" t="s">
        <v>322</v>
      </c>
      <c r="D237" t="s">
        <v>253</v>
      </c>
      <c r="E237" t="s">
        <v>306</v>
      </c>
      <c r="F237" t="s">
        <v>307</v>
      </c>
      <c r="G237" t="s">
        <v>17</v>
      </c>
      <c r="H237">
        <v>0</v>
      </c>
      <c r="I237">
        <v>160</v>
      </c>
      <c r="J237">
        <v>11396</v>
      </c>
      <c r="K237">
        <v>9</v>
      </c>
      <c r="L237">
        <v>2019</v>
      </c>
    </row>
    <row r="238" spans="1:12" x14ac:dyDescent="0.3">
      <c r="A238" t="s">
        <v>132</v>
      </c>
      <c r="B238">
        <v>19</v>
      </c>
      <c r="C238" t="s">
        <v>133</v>
      </c>
      <c r="D238" t="s">
        <v>190</v>
      </c>
      <c r="E238" t="s">
        <v>282</v>
      </c>
      <c r="F238" t="s">
        <v>283</v>
      </c>
      <c r="G238" t="s">
        <v>17</v>
      </c>
      <c r="H238">
        <v>0</v>
      </c>
      <c r="I238">
        <v>7575</v>
      </c>
      <c r="J238">
        <v>521217</v>
      </c>
      <c r="K238">
        <v>7</v>
      </c>
      <c r="L238">
        <v>2019</v>
      </c>
    </row>
    <row r="239" spans="1:12" x14ac:dyDescent="0.3">
      <c r="A239" t="s">
        <v>42</v>
      </c>
      <c r="B239">
        <v>33</v>
      </c>
      <c r="C239" t="s">
        <v>255</v>
      </c>
      <c r="D239" t="s">
        <v>153</v>
      </c>
      <c r="E239" t="s">
        <v>127</v>
      </c>
      <c r="F239" t="s">
        <v>128</v>
      </c>
      <c r="G239" t="s">
        <v>17</v>
      </c>
      <c r="H239">
        <v>0</v>
      </c>
      <c r="I239">
        <v>798748</v>
      </c>
      <c r="J239">
        <v>59460109</v>
      </c>
      <c r="K239">
        <v>1</v>
      </c>
      <c r="L239">
        <v>2022</v>
      </c>
    </row>
    <row r="240" spans="1:12" x14ac:dyDescent="0.3">
      <c r="A240" t="s">
        <v>47</v>
      </c>
      <c r="B240">
        <v>7</v>
      </c>
      <c r="C240" t="s">
        <v>48</v>
      </c>
      <c r="D240" t="s">
        <v>215</v>
      </c>
      <c r="E240" t="s">
        <v>52</v>
      </c>
      <c r="F240" t="s">
        <v>53</v>
      </c>
      <c r="G240" t="s">
        <v>17</v>
      </c>
      <c r="H240">
        <v>0</v>
      </c>
      <c r="I240">
        <v>9226</v>
      </c>
      <c r="J240">
        <v>702709</v>
      </c>
      <c r="K240">
        <v>4</v>
      </c>
      <c r="L240">
        <v>2022</v>
      </c>
    </row>
    <row r="241" spans="1:12" x14ac:dyDescent="0.3">
      <c r="A241" t="s">
        <v>42</v>
      </c>
      <c r="B241">
        <v>33</v>
      </c>
      <c r="C241" t="s">
        <v>111</v>
      </c>
      <c r="D241" t="s">
        <v>263</v>
      </c>
      <c r="E241" t="s">
        <v>116</v>
      </c>
      <c r="F241" t="s">
        <v>117</v>
      </c>
      <c r="G241" t="s">
        <v>17</v>
      </c>
      <c r="H241">
        <v>0</v>
      </c>
      <c r="I241">
        <v>38639</v>
      </c>
      <c r="J241">
        <v>2946026</v>
      </c>
      <c r="K241">
        <v>3</v>
      </c>
      <c r="L241">
        <v>2022</v>
      </c>
    </row>
    <row r="242" spans="1:12" x14ac:dyDescent="0.3">
      <c r="A242" t="s">
        <v>323</v>
      </c>
      <c r="B242">
        <v>5</v>
      </c>
      <c r="C242" t="s">
        <v>324</v>
      </c>
      <c r="D242" t="s">
        <v>81</v>
      </c>
      <c r="E242" t="s">
        <v>77</v>
      </c>
      <c r="F242" t="s">
        <v>78</v>
      </c>
      <c r="G242" t="s">
        <v>17</v>
      </c>
      <c r="H242">
        <v>0</v>
      </c>
      <c r="I242">
        <v>282</v>
      </c>
      <c r="J242">
        <v>20639</v>
      </c>
      <c r="K242">
        <v>1</v>
      </c>
      <c r="L242">
        <v>2021</v>
      </c>
    </row>
    <row r="243" spans="1:12" x14ac:dyDescent="0.3">
      <c r="A243" t="s">
        <v>47</v>
      </c>
      <c r="B243">
        <v>7</v>
      </c>
      <c r="C243" t="s">
        <v>51</v>
      </c>
      <c r="D243" t="s">
        <v>325</v>
      </c>
      <c r="E243" t="s">
        <v>86</v>
      </c>
      <c r="F243" t="s">
        <v>87</v>
      </c>
      <c r="G243" t="s">
        <v>17</v>
      </c>
      <c r="H243">
        <v>0</v>
      </c>
      <c r="I243">
        <v>38409</v>
      </c>
      <c r="J243">
        <v>2895011</v>
      </c>
      <c r="K243">
        <v>12</v>
      </c>
      <c r="L243">
        <v>2021</v>
      </c>
    </row>
    <row r="244" spans="1:12" x14ac:dyDescent="0.3">
      <c r="A244" t="s">
        <v>58</v>
      </c>
      <c r="B244">
        <v>27</v>
      </c>
      <c r="C244" t="s">
        <v>125</v>
      </c>
      <c r="D244" t="s">
        <v>243</v>
      </c>
      <c r="E244" t="s">
        <v>95</v>
      </c>
      <c r="F244" t="s">
        <v>96</v>
      </c>
      <c r="G244" t="s">
        <v>17</v>
      </c>
      <c r="H244">
        <v>0</v>
      </c>
      <c r="I244">
        <v>577</v>
      </c>
      <c r="J244">
        <v>36699</v>
      </c>
      <c r="K244">
        <v>1</v>
      </c>
      <c r="L244">
        <v>2018</v>
      </c>
    </row>
    <row r="245" spans="1:12" x14ac:dyDescent="0.3">
      <c r="A245" t="s">
        <v>47</v>
      </c>
      <c r="B245">
        <v>7</v>
      </c>
      <c r="C245" t="s">
        <v>51</v>
      </c>
      <c r="D245" t="s">
        <v>159</v>
      </c>
      <c r="E245" t="s">
        <v>123</v>
      </c>
      <c r="F245" t="s">
        <v>124</v>
      </c>
      <c r="G245" t="s">
        <v>17</v>
      </c>
      <c r="H245">
        <v>0</v>
      </c>
      <c r="I245">
        <v>83502</v>
      </c>
      <c r="J245">
        <v>5956473</v>
      </c>
      <c r="K245">
        <v>9</v>
      </c>
      <c r="L245">
        <v>2019</v>
      </c>
    </row>
    <row r="246" spans="1:12" x14ac:dyDescent="0.3">
      <c r="A246" t="s">
        <v>73</v>
      </c>
      <c r="B246">
        <v>3</v>
      </c>
      <c r="C246" t="s">
        <v>221</v>
      </c>
      <c r="D246" t="s">
        <v>44</v>
      </c>
      <c r="E246" t="s">
        <v>157</v>
      </c>
      <c r="F246" t="s">
        <v>158</v>
      </c>
      <c r="G246" t="s">
        <v>17</v>
      </c>
      <c r="H246">
        <v>0</v>
      </c>
      <c r="I246">
        <v>364</v>
      </c>
      <c r="J246">
        <v>27749</v>
      </c>
      <c r="K246">
        <v>4</v>
      </c>
      <c r="L246">
        <v>2022</v>
      </c>
    </row>
    <row r="247" spans="1:12" x14ac:dyDescent="0.3">
      <c r="A247" t="s">
        <v>12</v>
      </c>
      <c r="B247">
        <v>8</v>
      </c>
      <c r="C247" t="s">
        <v>326</v>
      </c>
      <c r="D247" t="s">
        <v>327</v>
      </c>
      <c r="E247" t="s">
        <v>15</v>
      </c>
      <c r="F247" t="s">
        <v>16</v>
      </c>
      <c r="G247" t="s">
        <v>17</v>
      </c>
      <c r="H247">
        <v>0</v>
      </c>
      <c r="I247">
        <v>1436</v>
      </c>
      <c r="J247">
        <v>106576</v>
      </c>
      <c r="K247">
        <v>11</v>
      </c>
      <c r="L247">
        <v>2020</v>
      </c>
    </row>
    <row r="248" spans="1:12" x14ac:dyDescent="0.3">
      <c r="A248" t="s">
        <v>23</v>
      </c>
      <c r="B248">
        <v>24</v>
      </c>
      <c r="C248" t="s">
        <v>235</v>
      </c>
      <c r="D248" t="s">
        <v>328</v>
      </c>
      <c r="E248" t="s">
        <v>45</v>
      </c>
      <c r="F248" t="s">
        <v>46</v>
      </c>
      <c r="G248" t="s">
        <v>17</v>
      </c>
      <c r="H248">
        <v>0</v>
      </c>
      <c r="I248">
        <v>16710</v>
      </c>
      <c r="J248">
        <v>1191991</v>
      </c>
      <c r="K248">
        <v>9</v>
      </c>
      <c r="L248">
        <v>2019</v>
      </c>
    </row>
    <row r="249" spans="1:12" x14ac:dyDescent="0.3">
      <c r="A249" t="s">
        <v>58</v>
      </c>
      <c r="B249">
        <v>27</v>
      </c>
      <c r="C249" t="s">
        <v>59</v>
      </c>
      <c r="D249" t="s">
        <v>68</v>
      </c>
      <c r="E249" t="s">
        <v>178</v>
      </c>
      <c r="F249" t="s">
        <v>179</v>
      </c>
      <c r="G249" t="s">
        <v>17</v>
      </c>
      <c r="H249">
        <v>0</v>
      </c>
      <c r="I249">
        <v>9801</v>
      </c>
      <c r="J249">
        <v>727418</v>
      </c>
      <c r="K249">
        <v>11</v>
      </c>
      <c r="L249">
        <v>2020</v>
      </c>
    </row>
    <row r="250" spans="1:12" x14ac:dyDescent="0.3">
      <c r="A250" t="s">
        <v>132</v>
      </c>
      <c r="B250">
        <v>19</v>
      </c>
      <c r="C250" t="s">
        <v>329</v>
      </c>
      <c r="D250" t="s">
        <v>70</v>
      </c>
      <c r="E250" t="s">
        <v>178</v>
      </c>
      <c r="F250" t="s">
        <v>179</v>
      </c>
      <c r="G250" t="s">
        <v>17</v>
      </c>
      <c r="H250">
        <v>0</v>
      </c>
      <c r="I250">
        <v>128</v>
      </c>
      <c r="J250">
        <v>9564</v>
      </c>
      <c r="K250">
        <v>4</v>
      </c>
      <c r="L250">
        <v>2021</v>
      </c>
    </row>
    <row r="251" spans="1:12" x14ac:dyDescent="0.3">
      <c r="A251" t="s">
        <v>58</v>
      </c>
      <c r="B251">
        <v>27</v>
      </c>
      <c r="C251" t="s">
        <v>330</v>
      </c>
      <c r="D251" t="s">
        <v>149</v>
      </c>
      <c r="E251" t="s">
        <v>52</v>
      </c>
      <c r="F251" t="s">
        <v>53</v>
      </c>
      <c r="G251" t="s">
        <v>17</v>
      </c>
      <c r="H251">
        <v>0</v>
      </c>
      <c r="I251">
        <v>19010</v>
      </c>
      <c r="J251">
        <v>1308038</v>
      </c>
      <c r="K251">
        <v>7</v>
      </c>
      <c r="L251">
        <v>2019</v>
      </c>
    </row>
    <row r="252" spans="1:12" x14ac:dyDescent="0.3">
      <c r="A252" t="s">
        <v>42</v>
      </c>
      <c r="B252">
        <v>33</v>
      </c>
      <c r="C252" t="s">
        <v>192</v>
      </c>
      <c r="D252" t="s">
        <v>35</v>
      </c>
      <c r="E252" t="s">
        <v>36</v>
      </c>
      <c r="F252" t="s">
        <v>37</v>
      </c>
      <c r="G252" t="s">
        <v>17</v>
      </c>
      <c r="H252">
        <v>0</v>
      </c>
      <c r="I252">
        <v>12709</v>
      </c>
      <c r="J252">
        <v>952100</v>
      </c>
      <c r="K252">
        <v>10</v>
      </c>
      <c r="L252">
        <v>2021</v>
      </c>
    </row>
    <row r="253" spans="1:12" x14ac:dyDescent="0.3">
      <c r="A253" t="s">
        <v>23</v>
      </c>
      <c r="B253">
        <v>24</v>
      </c>
      <c r="C253" t="s">
        <v>69</v>
      </c>
      <c r="D253" t="s">
        <v>232</v>
      </c>
      <c r="E253" t="s">
        <v>116</v>
      </c>
      <c r="F253" t="s">
        <v>117</v>
      </c>
      <c r="G253" t="s">
        <v>17</v>
      </c>
      <c r="H253">
        <v>0</v>
      </c>
      <c r="I253">
        <v>195255</v>
      </c>
      <c r="J253">
        <v>14786031</v>
      </c>
      <c r="K253">
        <v>6</v>
      </c>
      <c r="L253">
        <v>2020</v>
      </c>
    </row>
    <row r="254" spans="1:12" x14ac:dyDescent="0.3">
      <c r="A254" t="s">
        <v>28</v>
      </c>
      <c r="B254">
        <v>29</v>
      </c>
      <c r="C254" t="s">
        <v>29</v>
      </c>
      <c r="D254" t="s">
        <v>35</v>
      </c>
      <c r="E254" t="s">
        <v>300</v>
      </c>
      <c r="F254" t="s">
        <v>301</v>
      </c>
      <c r="G254" t="s">
        <v>17</v>
      </c>
      <c r="H254">
        <v>0</v>
      </c>
      <c r="I254">
        <v>472302</v>
      </c>
      <c r="J254">
        <v>36518060</v>
      </c>
      <c r="K254">
        <v>5</v>
      </c>
      <c r="L254">
        <v>2022</v>
      </c>
    </row>
    <row r="255" spans="1:12" x14ac:dyDescent="0.3">
      <c r="A255" t="s">
        <v>23</v>
      </c>
      <c r="B255">
        <v>24</v>
      </c>
      <c r="C255" t="s">
        <v>218</v>
      </c>
      <c r="D255" t="s">
        <v>105</v>
      </c>
      <c r="E255" t="s">
        <v>106</v>
      </c>
      <c r="F255" t="s">
        <v>107</v>
      </c>
      <c r="G255" t="s">
        <v>17</v>
      </c>
      <c r="H255">
        <v>0</v>
      </c>
      <c r="I255">
        <v>7923</v>
      </c>
      <c r="J255">
        <v>520008</v>
      </c>
      <c r="K255">
        <v>4</v>
      </c>
      <c r="L255">
        <v>2018</v>
      </c>
    </row>
    <row r="256" spans="1:12" x14ac:dyDescent="0.3">
      <c r="A256" t="s">
        <v>47</v>
      </c>
      <c r="B256">
        <v>7</v>
      </c>
      <c r="C256" t="s">
        <v>48</v>
      </c>
      <c r="D256" t="s">
        <v>20</v>
      </c>
      <c r="E256" t="s">
        <v>56</v>
      </c>
      <c r="F256" t="s">
        <v>57</v>
      </c>
      <c r="G256" t="s">
        <v>17</v>
      </c>
      <c r="H256">
        <v>0</v>
      </c>
      <c r="I256">
        <v>128837</v>
      </c>
      <c r="J256">
        <v>10584177</v>
      </c>
      <c r="K256">
        <v>7</v>
      </c>
      <c r="L256">
        <v>2023</v>
      </c>
    </row>
    <row r="257" spans="1:12" x14ac:dyDescent="0.3">
      <c r="A257" t="s">
        <v>73</v>
      </c>
      <c r="B257">
        <v>3</v>
      </c>
      <c r="C257" t="s">
        <v>221</v>
      </c>
      <c r="D257" t="s">
        <v>331</v>
      </c>
      <c r="E257" t="s">
        <v>86</v>
      </c>
      <c r="F257" t="s">
        <v>87</v>
      </c>
      <c r="G257" t="s">
        <v>17</v>
      </c>
      <c r="H257">
        <v>0</v>
      </c>
      <c r="I257">
        <v>57758</v>
      </c>
      <c r="J257">
        <v>4755806</v>
      </c>
      <c r="K257">
        <v>10</v>
      </c>
      <c r="L257">
        <v>2022</v>
      </c>
    </row>
    <row r="258" spans="1:12" x14ac:dyDescent="0.3">
      <c r="A258" t="s">
        <v>58</v>
      </c>
      <c r="B258">
        <v>27</v>
      </c>
      <c r="C258" t="s">
        <v>125</v>
      </c>
      <c r="D258" t="s">
        <v>251</v>
      </c>
      <c r="E258" t="s">
        <v>77</v>
      </c>
      <c r="F258" t="s">
        <v>78</v>
      </c>
      <c r="G258" t="s">
        <v>17</v>
      </c>
      <c r="H258">
        <v>0</v>
      </c>
      <c r="I258">
        <v>90153</v>
      </c>
      <c r="J258">
        <v>6420846</v>
      </c>
      <c r="K258">
        <v>2</v>
      </c>
      <c r="L258">
        <v>2019</v>
      </c>
    </row>
    <row r="259" spans="1:12" x14ac:dyDescent="0.3">
      <c r="A259" t="s">
        <v>28</v>
      </c>
      <c r="B259">
        <v>29</v>
      </c>
      <c r="C259" t="s">
        <v>236</v>
      </c>
      <c r="D259" t="s">
        <v>193</v>
      </c>
      <c r="E259" t="s">
        <v>61</v>
      </c>
      <c r="F259" t="s">
        <v>62</v>
      </c>
      <c r="G259" t="s">
        <v>17</v>
      </c>
      <c r="H259">
        <v>0</v>
      </c>
      <c r="I259">
        <v>6899</v>
      </c>
      <c r="J259">
        <v>517410</v>
      </c>
      <c r="K259">
        <v>2</v>
      </c>
      <c r="L259">
        <v>2022</v>
      </c>
    </row>
    <row r="260" spans="1:12" x14ac:dyDescent="0.3">
      <c r="A260" t="s">
        <v>58</v>
      </c>
      <c r="B260">
        <v>27</v>
      </c>
      <c r="C260" t="s">
        <v>59</v>
      </c>
      <c r="D260" t="s">
        <v>331</v>
      </c>
      <c r="E260" t="s">
        <v>52</v>
      </c>
      <c r="F260" t="s">
        <v>53</v>
      </c>
      <c r="G260" t="s">
        <v>17</v>
      </c>
      <c r="H260">
        <v>0</v>
      </c>
      <c r="I260">
        <v>78644</v>
      </c>
      <c r="J260">
        <v>5113547</v>
      </c>
      <c r="K260">
        <v>3</v>
      </c>
      <c r="L260">
        <v>2018</v>
      </c>
    </row>
    <row r="261" spans="1:12" x14ac:dyDescent="0.3">
      <c r="A261" t="s">
        <v>23</v>
      </c>
      <c r="B261">
        <v>24</v>
      </c>
      <c r="C261" t="s">
        <v>218</v>
      </c>
      <c r="D261" t="s">
        <v>145</v>
      </c>
      <c r="E261" t="s">
        <v>195</v>
      </c>
      <c r="F261" t="s">
        <v>196</v>
      </c>
      <c r="G261" t="s">
        <v>17</v>
      </c>
      <c r="H261">
        <v>0</v>
      </c>
      <c r="I261">
        <v>381</v>
      </c>
      <c r="J261">
        <v>26450</v>
      </c>
      <c r="K261">
        <v>4</v>
      </c>
      <c r="L261">
        <v>2019</v>
      </c>
    </row>
    <row r="262" spans="1:12" x14ac:dyDescent="0.3">
      <c r="A262" t="s">
        <v>47</v>
      </c>
      <c r="B262">
        <v>7</v>
      </c>
      <c r="C262" t="s">
        <v>51</v>
      </c>
      <c r="D262" t="s">
        <v>281</v>
      </c>
      <c r="E262" t="s">
        <v>86</v>
      </c>
      <c r="F262" t="s">
        <v>87</v>
      </c>
      <c r="G262" t="s">
        <v>17</v>
      </c>
      <c r="H262">
        <v>0</v>
      </c>
      <c r="I262">
        <v>39537</v>
      </c>
      <c r="J262">
        <v>3248000</v>
      </c>
      <c r="K262">
        <v>7</v>
      </c>
      <c r="L262">
        <v>2023</v>
      </c>
    </row>
    <row r="263" spans="1:12" x14ac:dyDescent="0.3">
      <c r="A263" t="s">
        <v>42</v>
      </c>
      <c r="B263">
        <v>33</v>
      </c>
      <c r="C263" t="s">
        <v>111</v>
      </c>
      <c r="D263" t="s">
        <v>263</v>
      </c>
      <c r="E263" t="s">
        <v>40</v>
      </c>
      <c r="F263" t="s">
        <v>41</v>
      </c>
      <c r="G263" t="s">
        <v>17</v>
      </c>
      <c r="H263">
        <v>0</v>
      </c>
      <c r="I263">
        <v>65951</v>
      </c>
      <c r="J263">
        <v>4911541</v>
      </c>
      <c r="K263">
        <v>4</v>
      </c>
      <c r="L263">
        <v>2021</v>
      </c>
    </row>
    <row r="264" spans="1:12" x14ac:dyDescent="0.3">
      <c r="A264" t="s">
        <v>58</v>
      </c>
      <c r="B264">
        <v>27</v>
      </c>
      <c r="C264" t="s">
        <v>59</v>
      </c>
      <c r="D264" t="s">
        <v>332</v>
      </c>
      <c r="E264" t="s">
        <v>160</v>
      </c>
      <c r="F264" t="s">
        <v>161</v>
      </c>
      <c r="G264" t="s">
        <v>17</v>
      </c>
      <c r="H264">
        <v>0</v>
      </c>
      <c r="I264">
        <v>334617</v>
      </c>
      <c r="J264">
        <v>23771022</v>
      </c>
      <c r="K264">
        <v>10</v>
      </c>
      <c r="L264">
        <v>2019</v>
      </c>
    </row>
    <row r="265" spans="1:12" x14ac:dyDescent="0.3">
      <c r="A265" t="s">
        <v>33</v>
      </c>
      <c r="B265">
        <v>32</v>
      </c>
      <c r="C265" t="s">
        <v>214</v>
      </c>
      <c r="D265" t="s">
        <v>217</v>
      </c>
      <c r="E265" t="s">
        <v>157</v>
      </c>
      <c r="F265" t="s">
        <v>158</v>
      </c>
      <c r="G265" t="s">
        <v>17</v>
      </c>
      <c r="H265">
        <v>0</v>
      </c>
      <c r="I265">
        <v>14163</v>
      </c>
      <c r="J265">
        <v>1010019</v>
      </c>
      <c r="K265">
        <v>1</v>
      </c>
      <c r="L265">
        <v>2020</v>
      </c>
    </row>
    <row r="266" spans="1:12" x14ac:dyDescent="0.3">
      <c r="A266" t="s">
        <v>23</v>
      </c>
      <c r="B266">
        <v>24</v>
      </c>
      <c r="C266" t="s">
        <v>218</v>
      </c>
      <c r="D266" t="s">
        <v>35</v>
      </c>
      <c r="E266" t="s">
        <v>92</v>
      </c>
      <c r="F266" t="s">
        <v>93</v>
      </c>
      <c r="G266" t="s">
        <v>17</v>
      </c>
      <c r="H266">
        <v>0</v>
      </c>
      <c r="I266">
        <v>112019</v>
      </c>
      <c r="J266">
        <v>8987497</v>
      </c>
      <c r="K266">
        <v>9</v>
      </c>
      <c r="L266">
        <v>2022</v>
      </c>
    </row>
    <row r="267" spans="1:12" x14ac:dyDescent="0.3">
      <c r="A267" t="s">
        <v>42</v>
      </c>
      <c r="B267">
        <v>33</v>
      </c>
      <c r="C267" t="s">
        <v>43</v>
      </c>
      <c r="D267" t="s">
        <v>98</v>
      </c>
      <c r="E267" t="s">
        <v>77</v>
      </c>
      <c r="F267" t="s">
        <v>78</v>
      </c>
      <c r="G267" t="s">
        <v>17</v>
      </c>
      <c r="H267">
        <v>0</v>
      </c>
      <c r="I267">
        <v>774096</v>
      </c>
      <c r="J267">
        <v>61583197</v>
      </c>
      <c r="K267">
        <v>8</v>
      </c>
      <c r="L267">
        <v>2022</v>
      </c>
    </row>
    <row r="268" spans="1:12" x14ac:dyDescent="0.3">
      <c r="A268" t="s">
        <v>132</v>
      </c>
      <c r="B268">
        <v>19</v>
      </c>
      <c r="C268" t="s">
        <v>209</v>
      </c>
      <c r="D268" t="s">
        <v>98</v>
      </c>
      <c r="E268" t="s">
        <v>318</v>
      </c>
      <c r="F268" t="s">
        <v>319</v>
      </c>
      <c r="G268" t="s">
        <v>17</v>
      </c>
      <c r="H268">
        <v>0</v>
      </c>
      <c r="I268">
        <v>75448</v>
      </c>
      <c r="J268">
        <v>5658868</v>
      </c>
      <c r="K268">
        <v>2</v>
      </c>
      <c r="L268">
        <v>2022</v>
      </c>
    </row>
    <row r="269" spans="1:12" x14ac:dyDescent="0.3">
      <c r="A269" t="s">
        <v>58</v>
      </c>
      <c r="B269">
        <v>27</v>
      </c>
      <c r="C269" t="s">
        <v>125</v>
      </c>
      <c r="D269" t="s">
        <v>294</v>
      </c>
      <c r="E269" t="s">
        <v>56</v>
      </c>
      <c r="F269" t="s">
        <v>57</v>
      </c>
      <c r="G269" t="s">
        <v>17</v>
      </c>
      <c r="H269">
        <v>0</v>
      </c>
      <c r="I269">
        <v>17399</v>
      </c>
      <c r="J269">
        <v>1107190</v>
      </c>
      <c r="K269">
        <v>1</v>
      </c>
      <c r="L269">
        <v>2018</v>
      </c>
    </row>
    <row r="270" spans="1:12" x14ac:dyDescent="0.3">
      <c r="A270" t="s">
        <v>58</v>
      </c>
      <c r="B270">
        <v>27</v>
      </c>
      <c r="C270" t="s">
        <v>59</v>
      </c>
      <c r="D270" t="s">
        <v>241</v>
      </c>
      <c r="E270" t="s">
        <v>99</v>
      </c>
      <c r="F270" t="s">
        <v>100</v>
      </c>
      <c r="G270" t="s">
        <v>17</v>
      </c>
      <c r="H270">
        <v>0</v>
      </c>
      <c r="I270">
        <v>200708</v>
      </c>
      <c r="J270">
        <v>13787288</v>
      </c>
      <c r="K270">
        <v>7</v>
      </c>
      <c r="L270">
        <v>2018</v>
      </c>
    </row>
    <row r="271" spans="1:12" x14ac:dyDescent="0.3">
      <c r="A271" t="s">
        <v>58</v>
      </c>
      <c r="B271">
        <v>27</v>
      </c>
      <c r="C271" t="s">
        <v>59</v>
      </c>
      <c r="D271" t="s">
        <v>333</v>
      </c>
      <c r="E271" t="s">
        <v>157</v>
      </c>
      <c r="F271" t="s">
        <v>158</v>
      </c>
      <c r="G271" t="s">
        <v>17</v>
      </c>
      <c r="H271">
        <v>0</v>
      </c>
      <c r="I271">
        <v>62</v>
      </c>
      <c r="J271">
        <v>4246</v>
      </c>
      <c r="K271">
        <v>7</v>
      </c>
      <c r="L271">
        <v>2019</v>
      </c>
    </row>
    <row r="272" spans="1:12" x14ac:dyDescent="0.3">
      <c r="A272" t="s">
        <v>42</v>
      </c>
      <c r="B272">
        <v>33</v>
      </c>
      <c r="C272" t="s">
        <v>67</v>
      </c>
      <c r="D272" t="s">
        <v>44</v>
      </c>
      <c r="E272" t="s">
        <v>157</v>
      </c>
      <c r="F272" t="s">
        <v>158</v>
      </c>
      <c r="G272" t="s">
        <v>17</v>
      </c>
      <c r="H272">
        <v>0</v>
      </c>
      <c r="I272">
        <v>1564211</v>
      </c>
      <c r="J272">
        <v>113806526</v>
      </c>
      <c r="K272">
        <v>2</v>
      </c>
      <c r="L272">
        <v>2021</v>
      </c>
    </row>
    <row r="273" spans="1:12" x14ac:dyDescent="0.3">
      <c r="A273" t="s">
        <v>18</v>
      </c>
      <c r="B273">
        <v>6</v>
      </c>
      <c r="C273" t="s">
        <v>19</v>
      </c>
      <c r="D273" t="s">
        <v>197</v>
      </c>
      <c r="E273" t="s">
        <v>106</v>
      </c>
      <c r="F273" t="s">
        <v>107</v>
      </c>
      <c r="G273" t="s">
        <v>17</v>
      </c>
      <c r="H273">
        <v>0</v>
      </c>
      <c r="I273">
        <v>767</v>
      </c>
      <c r="J273">
        <v>55825</v>
      </c>
      <c r="K273">
        <v>3</v>
      </c>
      <c r="L273">
        <v>2021</v>
      </c>
    </row>
    <row r="274" spans="1:12" x14ac:dyDescent="0.3">
      <c r="A274" t="s">
        <v>137</v>
      </c>
      <c r="B274">
        <v>36</v>
      </c>
      <c r="C274" t="s">
        <v>138</v>
      </c>
      <c r="D274" t="s">
        <v>334</v>
      </c>
      <c r="E274" t="s">
        <v>244</v>
      </c>
      <c r="F274" t="s">
        <v>245</v>
      </c>
      <c r="G274" t="s">
        <v>17</v>
      </c>
      <c r="H274">
        <v>0</v>
      </c>
      <c r="I274">
        <v>574</v>
      </c>
      <c r="J274">
        <v>45655</v>
      </c>
      <c r="K274">
        <v>7</v>
      </c>
      <c r="L274">
        <v>2022</v>
      </c>
    </row>
    <row r="275" spans="1:12" x14ac:dyDescent="0.3">
      <c r="A275" t="s">
        <v>47</v>
      </c>
      <c r="B275">
        <v>7</v>
      </c>
      <c r="C275" t="s">
        <v>48</v>
      </c>
      <c r="D275" t="s">
        <v>277</v>
      </c>
      <c r="E275" t="s">
        <v>335</v>
      </c>
      <c r="F275" t="s">
        <v>336</v>
      </c>
      <c r="G275" t="s">
        <v>17</v>
      </c>
      <c r="H275">
        <v>0</v>
      </c>
      <c r="I275">
        <v>1436</v>
      </c>
      <c r="J275">
        <v>104510</v>
      </c>
      <c r="K275">
        <v>3</v>
      </c>
      <c r="L275">
        <v>2021</v>
      </c>
    </row>
    <row r="276" spans="1:12" x14ac:dyDescent="0.3">
      <c r="A276" t="s">
        <v>79</v>
      </c>
      <c r="B276">
        <v>9</v>
      </c>
      <c r="C276" t="s">
        <v>337</v>
      </c>
      <c r="D276" t="s">
        <v>20</v>
      </c>
      <c r="E276" t="s">
        <v>45</v>
      </c>
      <c r="F276" t="s">
        <v>46</v>
      </c>
      <c r="G276" t="s">
        <v>17</v>
      </c>
      <c r="H276">
        <v>0</v>
      </c>
      <c r="I276">
        <v>69392</v>
      </c>
      <c r="J276">
        <v>4774729</v>
      </c>
      <c r="K276">
        <v>7</v>
      </c>
      <c r="L276">
        <v>2019</v>
      </c>
    </row>
    <row r="277" spans="1:12" x14ac:dyDescent="0.3">
      <c r="A277" t="s">
        <v>58</v>
      </c>
      <c r="B277">
        <v>27</v>
      </c>
      <c r="C277" t="s">
        <v>59</v>
      </c>
      <c r="D277" t="s">
        <v>163</v>
      </c>
      <c r="E277" t="s">
        <v>338</v>
      </c>
      <c r="F277" t="s">
        <v>339</v>
      </c>
      <c r="G277" t="s">
        <v>17</v>
      </c>
      <c r="H277">
        <v>0</v>
      </c>
      <c r="I277">
        <v>2697</v>
      </c>
      <c r="J277">
        <v>222414</v>
      </c>
      <c r="K277">
        <v>12</v>
      </c>
      <c r="L277">
        <v>2022</v>
      </c>
    </row>
    <row r="278" spans="1:12" x14ac:dyDescent="0.3">
      <c r="A278" t="s">
        <v>132</v>
      </c>
      <c r="B278">
        <v>19</v>
      </c>
      <c r="C278" t="s">
        <v>209</v>
      </c>
      <c r="D278" t="s">
        <v>224</v>
      </c>
      <c r="E278" t="s">
        <v>157</v>
      </c>
      <c r="F278" t="s">
        <v>158</v>
      </c>
      <c r="G278" t="s">
        <v>17</v>
      </c>
      <c r="H278">
        <v>0</v>
      </c>
      <c r="I278">
        <v>24544</v>
      </c>
      <c r="J278">
        <v>1736037</v>
      </c>
      <c r="K278">
        <v>1</v>
      </c>
      <c r="L278">
        <v>2019</v>
      </c>
    </row>
    <row r="279" spans="1:12" x14ac:dyDescent="0.3">
      <c r="A279" t="s">
        <v>58</v>
      </c>
      <c r="B279">
        <v>27</v>
      </c>
      <c r="C279" t="s">
        <v>129</v>
      </c>
      <c r="D279" t="s">
        <v>190</v>
      </c>
      <c r="E279" t="s">
        <v>150</v>
      </c>
      <c r="F279" t="s">
        <v>151</v>
      </c>
      <c r="G279" t="s">
        <v>17</v>
      </c>
      <c r="H279">
        <v>0</v>
      </c>
      <c r="I279">
        <v>1045</v>
      </c>
      <c r="J279">
        <v>74558</v>
      </c>
      <c r="K279">
        <v>1</v>
      </c>
      <c r="L279">
        <v>2020</v>
      </c>
    </row>
    <row r="280" spans="1:12" x14ac:dyDescent="0.3">
      <c r="A280" t="s">
        <v>23</v>
      </c>
      <c r="B280">
        <v>24</v>
      </c>
      <c r="C280" t="s">
        <v>24</v>
      </c>
      <c r="D280" t="s">
        <v>153</v>
      </c>
      <c r="E280" t="s">
        <v>173</v>
      </c>
      <c r="F280" t="s">
        <v>174</v>
      </c>
      <c r="G280" t="s">
        <v>17</v>
      </c>
      <c r="H280">
        <v>0</v>
      </c>
      <c r="I280">
        <v>494877</v>
      </c>
      <c r="J280">
        <v>36729703</v>
      </c>
      <c r="K280">
        <v>11</v>
      </c>
      <c r="L280">
        <v>2020</v>
      </c>
    </row>
    <row r="281" spans="1:12" x14ac:dyDescent="0.3">
      <c r="A281" t="s">
        <v>47</v>
      </c>
      <c r="B281">
        <v>7</v>
      </c>
      <c r="C281" t="s">
        <v>51</v>
      </c>
      <c r="D281" t="s">
        <v>217</v>
      </c>
      <c r="E281" t="s">
        <v>187</v>
      </c>
      <c r="F281" t="s">
        <v>188</v>
      </c>
      <c r="G281" t="s">
        <v>17</v>
      </c>
      <c r="H281">
        <v>0</v>
      </c>
      <c r="I281">
        <v>51055</v>
      </c>
      <c r="J281">
        <v>3562296</v>
      </c>
      <c r="K281">
        <v>5</v>
      </c>
      <c r="L281">
        <v>2019</v>
      </c>
    </row>
    <row r="282" spans="1:12" x14ac:dyDescent="0.3">
      <c r="A282" t="s">
        <v>58</v>
      </c>
      <c r="B282">
        <v>27</v>
      </c>
      <c r="C282" t="s">
        <v>129</v>
      </c>
      <c r="D282" t="s">
        <v>180</v>
      </c>
      <c r="E282" t="s">
        <v>187</v>
      </c>
      <c r="F282" t="s">
        <v>188</v>
      </c>
      <c r="G282" t="s">
        <v>17</v>
      </c>
      <c r="H282">
        <v>0</v>
      </c>
      <c r="I282">
        <v>2310</v>
      </c>
      <c r="J282">
        <v>171464</v>
      </c>
      <c r="K282">
        <v>11</v>
      </c>
      <c r="L282">
        <v>2020</v>
      </c>
    </row>
    <row r="283" spans="1:12" x14ac:dyDescent="0.3">
      <c r="A283" t="s">
        <v>47</v>
      </c>
      <c r="B283">
        <v>7</v>
      </c>
      <c r="C283" t="s">
        <v>48</v>
      </c>
      <c r="D283" t="s">
        <v>118</v>
      </c>
      <c r="E283" t="s">
        <v>150</v>
      </c>
      <c r="F283" t="s">
        <v>151</v>
      </c>
      <c r="G283" t="s">
        <v>17</v>
      </c>
      <c r="H283">
        <v>0</v>
      </c>
      <c r="I283">
        <v>17413</v>
      </c>
      <c r="J283">
        <v>1251206</v>
      </c>
      <c r="K283">
        <v>11</v>
      </c>
      <c r="L283">
        <v>2018</v>
      </c>
    </row>
    <row r="284" spans="1:12" x14ac:dyDescent="0.3">
      <c r="A284" t="s">
        <v>12</v>
      </c>
      <c r="B284">
        <v>8</v>
      </c>
      <c r="C284" t="s">
        <v>326</v>
      </c>
      <c r="D284" t="s">
        <v>35</v>
      </c>
      <c r="E284" t="s">
        <v>15</v>
      </c>
      <c r="F284" t="s">
        <v>16</v>
      </c>
      <c r="G284" t="s">
        <v>17</v>
      </c>
      <c r="H284">
        <v>0</v>
      </c>
      <c r="I284">
        <v>75287</v>
      </c>
      <c r="J284">
        <v>5253006</v>
      </c>
      <c r="K284">
        <v>5</v>
      </c>
      <c r="L284">
        <v>2019</v>
      </c>
    </row>
    <row r="285" spans="1:12" x14ac:dyDescent="0.3">
      <c r="A285" t="s">
        <v>47</v>
      </c>
      <c r="B285">
        <v>7</v>
      </c>
      <c r="C285" t="s">
        <v>48</v>
      </c>
      <c r="D285" t="s">
        <v>85</v>
      </c>
      <c r="E285" t="s">
        <v>15</v>
      </c>
      <c r="F285" t="s">
        <v>16</v>
      </c>
      <c r="G285" t="s">
        <v>17</v>
      </c>
      <c r="H285">
        <v>0</v>
      </c>
      <c r="I285">
        <v>41</v>
      </c>
      <c r="J285">
        <v>3158</v>
      </c>
      <c r="K285">
        <v>3</v>
      </c>
      <c r="L285">
        <v>2022</v>
      </c>
    </row>
    <row r="286" spans="1:12" x14ac:dyDescent="0.3">
      <c r="A286" t="s">
        <v>42</v>
      </c>
      <c r="B286">
        <v>33</v>
      </c>
      <c r="C286" t="s">
        <v>111</v>
      </c>
      <c r="D286" t="s">
        <v>153</v>
      </c>
      <c r="E286" t="s">
        <v>26</v>
      </c>
      <c r="F286" t="s">
        <v>27</v>
      </c>
      <c r="G286" t="s">
        <v>17</v>
      </c>
      <c r="H286">
        <v>0</v>
      </c>
      <c r="I286">
        <v>129162</v>
      </c>
      <c r="J286">
        <v>8973969</v>
      </c>
      <c r="K286">
        <v>3</v>
      </c>
      <c r="L286">
        <v>2019</v>
      </c>
    </row>
    <row r="287" spans="1:12" x14ac:dyDescent="0.3">
      <c r="A287" t="s">
        <v>23</v>
      </c>
      <c r="B287">
        <v>24</v>
      </c>
      <c r="C287" t="s">
        <v>340</v>
      </c>
      <c r="D287" t="s">
        <v>341</v>
      </c>
      <c r="E287" t="s">
        <v>26</v>
      </c>
      <c r="F287" t="s">
        <v>27</v>
      </c>
      <c r="G287" t="s">
        <v>17</v>
      </c>
      <c r="H287">
        <v>0</v>
      </c>
      <c r="I287">
        <v>14</v>
      </c>
      <c r="J287">
        <v>1109</v>
      </c>
      <c r="K287">
        <v>9</v>
      </c>
      <c r="L287">
        <v>2022</v>
      </c>
    </row>
    <row r="288" spans="1:12" x14ac:dyDescent="0.3">
      <c r="A288" t="s">
        <v>47</v>
      </c>
      <c r="B288">
        <v>7</v>
      </c>
      <c r="C288" t="s">
        <v>48</v>
      </c>
      <c r="D288" t="s">
        <v>35</v>
      </c>
      <c r="E288" t="s">
        <v>31</v>
      </c>
      <c r="F288" t="s">
        <v>32</v>
      </c>
      <c r="G288" t="s">
        <v>17</v>
      </c>
      <c r="H288">
        <v>0</v>
      </c>
      <c r="I288">
        <v>2134143</v>
      </c>
      <c r="J288">
        <v>166622350</v>
      </c>
      <c r="K288">
        <v>6</v>
      </c>
      <c r="L288">
        <v>2022</v>
      </c>
    </row>
    <row r="289" spans="1:12" x14ac:dyDescent="0.3">
      <c r="A289" t="s">
        <v>12</v>
      </c>
      <c r="B289">
        <v>8</v>
      </c>
      <c r="C289" t="s">
        <v>342</v>
      </c>
      <c r="D289" t="s">
        <v>294</v>
      </c>
      <c r="E289" t="s">
        <v>278</v>
      </c>
      <c r="F289" t="s">
        <v>279</v>
      </c>
      <c r="G289" t="s">
        <v>17</v>
      </c>
      <c r="H289">
        <v>0</v>
      </c>
      <c r="I289">
        <v>27441</v>
      </c>
      <c r="J289">
        <v>2184335</v>
      </c>
      <c r="K289">
        <v>7</v>
      </c>
      <c r="L289">
        <v>2022</v>
      </c>
    </row>
    <row r="290" spans="1:12" x14ac:dyDescent="0.3">
      <c r="A290" t="s">
        <v>42</v>
      </c>
      <c r="B290">
        <v>33</v>
      </c>
      <c r="C290" t="s">
        <v>43</v>
      </c>
      <c r="D290" t="s">
        <v>98</v>
      </c>
      <c r="E290" t="s">
        <v>65</v>
      </c>
      <c r="F290" t="s">
        <v>66</v>
      </c>
      <c r="G290" t="s">
        <v>17</v>
      </c>
      <c r="H290">
        <v>0</v>
      </c>
      <c r="I290">
        <v>327785</v>
      </c>
      <c r="J290">
        <v>27030546</v>
      </c>
      <c r="K290">
        <v>12</v>
      </c>
      <c r="L290">
        <v>2022</v>
      </c>
    </row>
    <row r="291" spans="1:12" x14ac:dyDescent="0.3">
      <c r="A291" t="s">
        <v>42</v>
      </c>
      <c r="B291">
        <v>33</v>
      </c>
      <c r="C291" t="s">
        <v>111</v>
      </c>
      <c r="D291" t="s">
        <v>186</v>
      </c>
      <c r="E291" t="s">
        <v>127</v>
      </c>
      <c r="F291" t="s">
        <v>128</v>
      </c>
      <c r="G291" t="s">
        <v>17</v>
      </c>
      <c r="H291">
        <v>0</v>
      </c>
      <c r="I291">
        <v>17151</v>
      </c>
      <c r="J291">
        <v>1364463</v>
      </c>
      <c r="K291">
        <v>8</v>
      </c>
      <c r="L291">
        <v>2022</v>
      </c>
    </row>
    <row r="292" spans="1:12" x14ac:dyDescent="0.3">
      <c r="A292" t="s">
        <v>58</v>
      </c>
      <c r="B292">
        <v>27</v>
      </c>
      <c r="C292" t="s">
        <v>129</v>
      </c>
      <c r="D292" t="s">
        <v>115</v>
      </c>
      <c r="E292" t="s">
        <v>99</v>
      </c>
      <c r="F292" t="s">
        <v>100</v>
      </c>
      <c r="G292" t="s">
        <v>17</v>
      </c>
      <c r="H292">
        <v>0</v>
      </c>
      <c r="I292">
        <v>729</v>
      </c>
      <c r="J292">
        <v>51781</v>
      </c>
      <c r="K292">
        <v>10</v>
      </c>
      <c r="L292">
        <v>2019</v>
      </c>
    </row>
    <row r="293" spans="1:12" x14ac:dyDescent="0.3">
      <c r="A293" t="s">
        <v>58</v>
      </c>
      <c r="B293">
        <v>27</v>
      </c>
      <c r="C293" t="s">
        <v>125</v>
      </c>
      <c r="D293" t="s">
        <v>289</v>
      </c>
      <c r="E293" t="s">
        <v>298</v>
      </c>
      <c r="F293" t="s">
        <v>299</v>
      </c>
      <c r="G293" t="s">
        <v>17</v>
      </c>
      <c r="H293">
        <v>0</v>
      </c>
      <c r="I293">
        <v>111</v>
      </c>
      <c r="J293">
        <v>7940</v>
      </c>
      <c r="K293">
        <v>1</v>
      </c>
      <c r="L293">
        <v>2020</v>
      </c>
    </row>
    <row r="294" spans="1:12" x14ac:dyDescent="0.3">
      <c r="A294" t="s">
        <v>28</v>
      </c>
      <c r="B294">
        <v>29</v>
      </c>
      <c r="C294" t="s">
        <v>29</v>
      </c>
      <c r="D294" t="s">
        <v>288</v>
      </c>
      <c r="E294" t="s">
        <v>36</v>
      </c>
      <c r="F294" t="s">
        <v>37</v>
      </c>
      <c r="G294" t="s">
        <v>17</v>
      </c>
      <c r="H294">
        <v>0</v>
      </c>
      <c r="I294">
        <v>3081</v>
      </c>
      <c r="J294">
        <v>219684</v>
      </c>
      <c r="K294">
        <v>1</v>
      </c>
      <c r="L294">
        <v>2020</v>
      </c>
    </row>
    <row r="295" spans="1:12" x14ac:dyDescent="0.3">
      <c r="A295" t="s">
        <v>42</v>
      </c>
      <c r="B295">
        <v>33</v>
      </c>
      <c r="C295" t="s">
        <v>152</v>
      </c>
      <c r="D295" t="s">
        <v>317</v>
      </c>
      <c r="E295" t="s">
        <v>116</v>
      </c>
      <c r="F295" t="s">
        <v>117</v>
      </c>
      <c r="G295" t="s">
        <v>17</v>
      </c>
      <c r="H295">
        <v>0</v>
      </c>
      <c r="I295">
        <v>62420</v>
      </c>
      <c r="J295">
        <v>4294999</v>
      </c>
      <c r="K295">
        <v>7</v>
      </c>
      <c r="L295">
        <v>2019</v>
      </c>
    </row>
    <row r="296" spans="1:12" x14ac:dyDescent="0.3">
      <c r="A296" t="s">
        <v>42</v>
      </c>
      <c r="B296">
        <v>33</v>
      </c>
      <c r="C296" t="s">
        <v>343</v>
      </c>
      <c r="D296" t="s">
        <v>241</v>
      </c>
      <c r="E296" t="s">
        <v>338</v>
      </c>
      <c r="F296" t="s">
        <v>339</v>
      </c>
      <c r="G296" t="s">
        <v>17</v>
      </c>
      <c r="H296">
        <v>0</v>
      </c>
      <c r="I296">
        <v>97570</v>
      </c>
      <c r="J296">
        <v>7098866</v>
      </c>
      <c r="K296">
        <v>2</v>
      </c>
      <c r="L296">
        <v>2021</v>
      </c>
    </row>
    <row r="297" spans="1:12" x14ac:dyDescent="0.3">
      <c r="A297" t="s">
        <v>58</v>
      </c>
      <c r="B297">
        <v>27</v>
      </c>
      <c r="C297" t="s">
        <v>125</v>
      </c>
      <c r="D297" t="s">
        <v>344</v>
      </c>
      <c r="E297" t="s">
        <v>157</v>
      </c>
      <c r="F297" t="s">
        <v>158</v>
      </c>
      <c r="G297" t="s">
        <v>17</v>
      </c>
      <c r="H297">
        <v>0</v>
      </c>
      <c r="I297">
        <v>681</v>
      </c>
      <c r="J297">
        <v>48421</v>
      </c>
      <c r="K297">
        <v>8</v>
      </c>
      <c r="L297">
        <v>2019</v>
      </c>
    </row>
    <row r="298" spans="1:12" x14ac:dyDescent="0.3">
      <c r="A298" t="s">
        <v>42</v>
      </c>
      <c r="B298">
        <v>33</v>
      </c>
      <c r="C298" t="s">
        <v>176</v>
      </c>
      <c r="D298" t="s">
        <v>345</v>
      </c>
      <c r="E298" t="s">
        <v>154</v>
      </c>
      <c r="F298" t="s">
        <v>155</v>
      </c>
      <c r="G298" t="s">
        <v>17</v>
      </c>
      <c r="H298">
        <v>0</v>
      </c>
      <c r="I298">
        <v>4478</v>
      </c>
      <c r="J298">
        <v>308103</v>
      </c>
      <c r="K298">
        <v>7</v>
      </c>
      <c r="L298">
        <v>2019</v>
      </c>
    </row>
    <row r="299" spans="1:12" x14ac:dyDescent="0.3">
      <c r="A299" t="s">
        <v>18</v>
      </c>
      <c r="B299">
        <v>6</v>
      </c>
      <c r="C299" t="s">
        <v>19</v>
      </c>
      <c r="D299" t="s">
        <v>118</v>
      </c>
      <c r="E299" t="s">
        <v>15</v>
      </c>
      <c r="F299" t="s">
        <v>16</v>
      </c>
      <c r="G299" t="s">
        <v>17</v>
      </c>
      <c r="H299">
        <v>0</v>
      </c>
      <c r="I299">
        <v>254537</v>
      </c>
      <c r="J299">
        <v>20823777</v>
      </c>
      <c r="K299">
        <v>11</v>
      </c>
      <c r="L299">
        <v>2022</v>
      </c>
    </row>
    <row r="300" spans="1:12" x14ac:dyDescent="0.3">
      <c r="A300" t="s">
        <v>28</v>
      </c>
      <c r="B300">
        <v>29</v>
      </c>
      <c r="C300" t="s">
        <v>346</v>
      </c>
      <c r="D300" t="s">
        <v>294</v>
      </c>
      <c r="E300" t="s">
        <v>15</v>
      </c>
      <c r="F300" t="s">
        <v>16</v>
      </c>
      <c r="G300" t="s">
        <v>17</v>
      </c>
      <c r="H300">
        <v>0</v>
      </c>
      <c r="I300">
        <v>229</v>
      </c>
      <c r="J300">
        <v>15000</v>
      </c>
      <c r="K300">
        <v>4</v>
      </c>
      <c r="L300">
        <v>2018</v>
      </c>
    </row>
    <row r="301" spans="1:12" x14ac:dyDescent="0.3">
      <c r="A301" t="s">
        <v>23</v>
      </c>
      <c r="B301">
        <v>24</v>
      </c>
      <c r="C301" t="s">
        <v>24</v>
      </c>
      <c r="D301" t="s">
        <v>68</v>
      </c>
      <c r="E301" t="s">
        <v>160</v>
      </c>
      <c r="F301" t="s">
        <v>161</v>
      </c>
      <c r="G301" t="s">
        <v>17</v>
      </c>
      <c r="H301">
        <v>0</v>
      </c>
      <c r="I301">
        <v>295631</v>
      </c>
      <c r="J301">
        <v>20540049</v>
      </c>
      <c r="K301">
        <v>3</v>
      </c>
      <c r="L301">
        <v>2019</v>
      </c>
    </row>
    <row r="302" spans="1:12" x14ac:dyDescent="0.3">
      <c r="A302" t="s">
        <v>23</v>
      </c>
      <c r="B302">
        <v>24</v>
      </c>
      <c r="C302" t="s">
        <v>38</v>
      </c>
      <c r="D302" t="s">
        <v>115</v>
      </c>
      <c r="E302" t="s">
        <v>347</v>
      </c>
      <c r="F302" t="s">
        <v>348</v>
      </c>
      <c r="G302" t="s">
        <v>17</v>
      </c>
      <c r="H302">
        <v>0</v>
      </c>
      <c r="I302">
        <v>151</v>
      </c>
      <c r="J302">
        <v>10564</v>
      </c>
      <c r="K302">
        <v>5</v>
      </c>
      <c r="L302">
        <v>2019</v>
      </c>
    </row>
    <row r="303" spans="1:12" x14ac:dyDescent="0.3">
      <c r="A303" t="s">
        <v>28</v>
      </c>
      <c r="B303">
        <v>29</v>
      </c>
      <c r="C303" t="s">
        <v>236</v>
      </c>
      <c r="D303" t="s">
        <v>229</v>
      </c>
      <c r="E303" t="s">
        <v>21</v>
      </c>
      <c r="F303" t="s">
        <v>22</v>
      </c>
      <c r="G303" t="s">
        <v>17</v>
      </c>
      <c r="H303">
        <v>0</v>
      </c>
      <c r="I303">
        <v>9104</v>
      </c>
      <c r="J303">
        <v>643907</v>
      </c>
      <c r="K303">
        <v>12</v>
      </c>
      <c r="L303">
        <v>2018</v>
      </c>
    </row>
    <row r="304" spans="1:12" x14ac:dyDescent="0.3">
      <c r="A304" t="s">
        <v>42</v>
      </c>
      <c r="B304">
        <v>33</v>
      </c>
      <c r="C304" t="s">
        <v>349</v>
      </c>
      <c r="D304" t="s">
        <v>350</v>
      </c>
      <c r="E304" t="s">
        <v>116</v>
      </c>
      <c r="F304" t="s">
        <v>117</v>
      </c>
      <c r="G304" t="s">
        <v>17</v>
      </c>
      <c r="H304">
        <v>0</v>
      </c>
      <c r="I304">
        <v>9036</v>
      </c>
      <c r="J304">
        <v>670631</v>
      </c>
      <c r="K304">
        <v>11</v>
      </c>
      <c r="L304">
        <v>2020</v>
      </c>
    </row>
    <row r="305" spans="1:12" x14ac:dyDescent="0.3">
      <c r="A305" t="s">
        <v>28</v>
      </c>
      <c r="B305">
        <v>29</v>
      </c>
      <c r="C305" t="s">
        <v>29</v>
      </c>
      <c r="D305" t="s">
        <v>149</v>
      </c>
      <c r="E305" t="s">
        <v>65</v>
      </c>
      <c r="F305" t="s">
        <v>66</v>
      </c>
      <c r="G305" t="s">
        <v>17</v>
      </c>
      <c r="H305">
        <v>0</v>
      </c>
      <c r="I305">
        <v>364</v>
      </c>
      <c r="J305">
        <v>26019</v>
      </c>
      <c r="K305">
        <v>11</v>
      </c>
      <c r="L305">
        <v>2019</v>
      </c>
    </row>
    <row r="306" spans="1:12" x14ac:dyDescent="0.3">
      <c r="A306" t="s">
        <v>58</v>
      </c>
      <c r="B306">
        <v>27</v>
      </c>
      <c r="C306" t="s">
        <v>59</v>
      </c>
      <c r="D306" t="s">
        <v>247</v>
      </c>
      <c r="E306" t="s">
        <v>116</v>
      </c>
      <c r="F306" t="s">
        <v>117</v>
      </c>
      <c r="G306" t="s">
        <v>17</v>
      </c>
      <c r="H306">
        <v>0</v>
      </c>
      <c r="I306">
        <v>1782</v>
      </c>
      <c r="J306">
        <v>130977</v>
      </c>
      <c r="K306">
        <v>9</v>
      </c>
      <c r="L306">
        <v>2020</v>
      </c>
    </row>
    <row r="307" spans="1:12" x14ac:dyDescent="0.3">
      <c r="A307" t="s">
        <v>33</v>
      </c>
      <c r="B307">
        <v>32</v>
      </c>
      <c r="C307" t="s">
        <v>214</v>
      </c>
      <c r="D307" t="s">
        <v>35</v>
      </c>
      <c r="E307" t="s">
        <v>52</v>
      </c>
      <c r="F307" t="s">
        <v>53</v>
      </c>
      <c r="G307" t="s">
        <v>17</v>
      </c>
      <c r="H307">
        <v>0</v>
      </c>
      <c r="I307">
        <v>1520573</v>
      </c>
      <c r="J307">
        <v>111858508</v>
      </c>
      <c r="K307">
        <v>9</v>
      </c>
      <c r="L307">
        <v>2021</v>
      </c>
    </row>
    <row r="308" spans="1:12" x14ac:dyDescent="0.3">
      <c r="A308" t="s">
        <v>18</v>
      </c>
      <c r="B308">
        <v>6</v>
      </c>
      <c r="C308" t="s">
        <v>97</v>
      </c>
      <c r="D308" t="s">
        <v>14</v>
      </c>
      <c r="E308" t="s">
        <v>187</v>
      </c>
      <c r="F308" t="s">
        <v>188</v>
      </c>
      <c r="G308" t="s">
        <v>17</v>
      </c>
      <c r="H308">
        <v>0</v>
      </c>
      <c r="I308">
        <v>10</v>
      </c>
      <c r="J308">
        <v>681</v>
      </c>
      <c r="K308">
        <v>6</v>
      </c>
      <c r="L308">
        <v>2019</v>
      </c>
    </row>
    <row r="309" spans="1:12" x14ac:dyDescent="0.3">
      <c r="A309" t="s">
        <v>58</v>
      </c>
      <c r="B309">
        <v>27</v>
      </c>
      <c r="C309" t="s">
        <v>59</v>
      </c>
      <c r="D309" t="s">
        <v>217</v>
      </c>
      <c r="E309" t="s">
        <v>284</v>
      </c>
      <c r="F309" t="s">
        <v>285</v>
      </c>
      <c r="G309" t="s">
        <v>17</v>
      </c>
      <c r="H309">
        <v>0</v>
      </c>
      <c r="I309">
        <v>1282</v>
      </c>
      <c r="J309">
        <v>106113</v>
      </c>
      <c r="K309">
        <v>8</v>
      </c>
      <c r="L309">
        <v>2023</v>
      </c>
    </row>
    <row r="310" spans="1:12" x14ac:dyDescent="0.3">
      <c r="A310" t="s">
        <v>23</v>
      </c>
      <c r="B310">
        <v>24</v>
      </c>
      <c r="C310" t="s">
        <v>218</v>
      </c>
      <c r="D310" t="s">
        <v>153</v>
      </c>
      <c r="E310" t="s">
        <v>227</v>
      </c>
      <c r="F310" t="s">
        <v>228</v>
      </c>
      <c r="G310" t="s">
        <v>17</v>
      </c>
      <c r="H310">
        <v>0</v>
      </c>
      <c r="I310">
        <v>1169</v>
      </c>
      <c r="J310">
        <v>96292</v>
      </c>
      <c r="K310">
        <v>5</v>
      </c>
      <c r="L310">
        <v>2023</v>
      </c>
    </row>
    <row r="311" spans="1:12" x14ac:dyDescent="0.3">
      <c r="A311" t="s">
        <v>42</v>
      </c>
      <c r="B311">
        <v>33</v>
      </c>
      <c r="C311" t="s">
        <v>43</v>
      </c>
      <c r="D311" t="s">
        <v>241</v>
      </c>
      <c r="E311" t="s">
        <v>187</v>
      </c>
      <c r="F311" t="s">
        <v>188</v>
      </c>
      <c r="G311" t="s">
        <v>17</v>
      </c>
      <c r="H311">
        <v>0</v>
      </c>
      <c r="I311">
        <v>60924</v>
      </c>
      <c r="J311">
        <v>4399624</v>
      </c>
      <c r="K311">
        <v>9</v>
      </c>
      <c r="L311">
        <v>2018</v>
      </c>
    </row>
    <row r="312" spans="1:12" x14ac:dyDescent="0.3">
      <c r="A312" t="s">
        <v>79</v>
      </c>
      <c r="B312">
        <v>9</v>
      </c>
      <c r="C312" t="s">
        <v>351</v>
      </c>
      <c r="D312" t="s">
        <v>190</v>
      </c>
      <c r="E312" t="s">
        <v>103</v>
      </c>
      <c r="F312" t="s">
        <v>104</v>
      </c>
      <c r="G312" t="s">
        <v>17</v>
      </c>
      <c r="H312">
        <v>0</v>
      </c>
      <c r="I312">
        <v>455846</v>
      </c>
      <c r="J312">
        <v>33958900</v>
      </c>
      <c r="K312">
        <v>11</v>
      </c>
      <c r="L312">
        <v>2021</v>
      </c>
    </row>
    <row r="313" spans="1:12" x14ac:dyDescent="0.3">
      <c r="A313" t="s">
        <v>58</v>
      </c>
      <c r="B313">
        <v>27</v>
      </c>
      <c r="C313" t="s">
        <v>59</v>
      </c>
      <c r="D313" t="s">
        <v>142</v>
      </c>
      <c r="E313" t="s">
        <v>318</v>
      </c>
      <c r="F313" t="s">
        <v>319</v>
      </c>
      <c r="G313" t="s">
        <v>17</v>
      </c>
      <c r="H313">
        <v>0</v>
      </c>
      <c r="I313">
        <v>35635</v>
      </c>
      <c r="J313">
        <v>2474489</v>
      </c>
      <c r="K313">
        <v>6</v>
      </c>
      <c r="L313">
        <v>2019</v>
      </c>
    </row>
    <row r="314" spans="1:12" x14ac:dyDescent="0.3">
      <c r="A314" t="s">
        <v>42</v>
      </c>
      <c r="B314">
        <v>33</v>
      </c>
      <c r="C314" t="s">
        <v>352</v>
      </c>
      <c r="D314" t="s">
        <v>159</v>
      </c>
      <c r="E314" t="s">
        <v>95</v>
      </c>
      <c r="F314" t="s">
        <v>96</v>
      </c>
      <c r="G314" t="s">
        <v>17</v>
      </c>
      <c r="H314">
        <v>0</v>
      </c>
      <c r="I314">
        <v>5201</v>
      </c>
      <c r="J314">
        <v>330950</v>
      </c>
      <c r="K314">
        <v>1</v>
      </c>
      <c r="L314">
        <v>2018</v>
      </c>
    </row>
    <row r="315" spans="1:12" x14ac:dyDescent="0.3">
      <c r="A315" t="s">
        <v>47</v>
      </c>
      <c r="B315">
        <v>7</v>
      </c>
      <c r="C315" t="s">
        <v>51</v>
      </c>
      <c r="D315" t="s">
        <v>320</v>
      </c>
      <c r="E315" t="s">
        <v>21</v>
      </c>
      <c r="F315" t="s">
        <v>22</v>
      </c>
      <c r="G315" t="s">
        <v>17</v>
      </c>
      <c r="H315">
        <v>0</v>
      </c>
      <c r="I315">
        <v>23604</v>
      </c>
      <c r="J315">
        <v>1502104</v>
      </c>
      <c r="K315">
        <v>1</v>
      </c>
      <c r="L315">
        <v>2018</v>
      </c>
    </row>
    <row r="316" spans="1:12" x14ac:dyDescent="0.3">
      <c r="A316" t="s">
        <v>137</v>
      </c>
      <c r="B316">
        <v>36</v>
      </c>
      <c r="C316" t="s">
        <v>148</v>
      </c>
      <c r="D316" t="s">
        <v>321</v>
      </c>
      <c r="E316" t="s">
        <v>244</v>
      </c>
      <c r="F316" t="s">
        <v>245</v>
      </c>
      <c r="G316" t="s">
        <v>17</v>
      </c>
      <c r="H316">
        <v>0</v>
      </c>
      <c r="I316">
        <v>19000</v>
      </c>
      <c r="J316">
        <v>1562472</v>
      </c>
      <c r="K316">
        <v>6</v>
      </c>
      <c r="L316">
        <v>2023</v>
      </c>
    </row>
    <row r="317" spans="1:12" x14ac:dyDescent="0.3">
      <c r="A317" t="s">
        <v>73</v>
      </c>
      <c r="B317">
        <v>3</v>
      </c>
      <c r="C317" t="s">
        <v>181</v>
      </c>
      <c r="D317" t="s">
        <v>353</v>
      </c>
      <c r="E317" t="s">
        <v>86</v>
      </c>
      <c r="F317" t="s">
        <v>87</v>
      </c>
      <c r="G317" t="s">
        <v>17</v>
      </c>
      <c r="H317">
        <v>0</v>
      </c>
      <c r="I317">
        <v>4348</v>
      </c>
      <c r="J317">
        <v>302107</v>
      </c>
      <c r="K317">
        <v>3</v>
      </c>
      <c r="L317">
        <v>2019</v>
      </c>
    </row>
    <row r="318" spans="1:12" x14ac:dyDescent="0.3">
      <c r="A318" t="s">
        <v>42</v>
      </c>
      <c r="B318">
        <v>33</v>
      </c>
      <c r="C318" t="s">
        <v>111</v>
      </c>
      <c r="D318" t="s">
        <v>354</v>
      </c>
      <c r="E318" t="s">
        <v>15</v>
      </c>
      <c r="F318" t="s">
        <v>16</v>
      </c>
      <c r="G318" t="s">
        <v>17</v>
      </c>
      <c r="H318">
        <v>0</v>
      </c>
      <c r="I318">
        <v>13</v>
      </c>
      <c r="J318">
        <v>949</v>
      </c>
      <c r="K318">
        <v>9</v>
      </c>
      <c r="L318">
        <v>2021</v>
      </c>
    </row>
    <row r="319" spans="1:12" x14ac:dyDescent="0.3">
      <c r="A319" t="s">
        <v>58</v>
      </c>
      <c r="B319">
        <v>27</v>
      </c>
      <c r="C319" t="s">
        <v>59</v>
      </c>
      <c r="D319" t="s">
        <v>98</v>
      </c>
      <c r="E319" t="s">
        <v>45</v>
      </c>
      <c r="F319" t="s">
        <v>46</v>
      </c>
      <c r="G319" t="s">
        <v>17</v>
      </c>
      <c r="H319">
        <v>0</v>
      </c>
      <c r="I319">
        <v>58210</v>
      </c>
      <c r="J319">
        <v>4333257</v>
      </c>
      <c r="K319">
        <v>1</v>
      </c>
      <c r="L319">
        <v>2022</v>
      </c>
    </row>
    <row r="320" spans="1:12" x14ac:dyDescent="0.3">
      <c r="A320" t="s">
        <v>18</v>
      </c>
      <c r="B320">
        <v>6</v>
      </c>
      <c r="C320" t="s">
        <v>166</v>
      </c>
      <c r="D320" t="s">
        <v>145</v>
      </c>
      <c r="E320" t="s">
        <v>157</v>
      </c>
      <c r="F320" t="s">
        <v>158</v>
      </c>
      <c r="G320" t="s">
        <v>17</v>
      </c>
      <c r="H320">
        <v>0</v>
      </c>
      <c r="I320">
        <v>1</v>
      </c>
      <c r="J320">
        <v>92</v>
      </c>
      <c r="K320">
        <v>9</v>
      </c>
      <c r="L320">
        <v>2019</v>
      </c>
    </row>
    <row r="321" spans="1:12" x14ac:dyDescent="0.3">
      <c r="A321" t="s">
        <v>79</v>
      </c>
      <c r="B321">
        <v>9</v>
      </c>
      <c r="C321" t="s">
        <v>162</v>
      </c>
      <c r="D321" t="s">
        <v>197</v>
      </c>
      <c r="E321" t="s">
        <v>86</v>
      </c>
      <c r="F321" t="s">
        <v>87</v>
      </c>
      <c r="G321" t="s">
        <v>17</v>
      </c>
      <c r="H321">
        <v>0</v>
      </c>
      <c r="I321">
        <v>433</v>
      </c>
      <c r="J321">
        <v>31651</v>
      </c>
      <c r="K321">
        <v>1</v>
      </c>
      <c r="L321">
        <v>2021</v>
      </c>
    </row>
    <row r="322" spans="1:12" x14ac:dyDescent="0.3">
      <c r="A322" t="s">
        <v>33</v>
      </c>
      <c r="B322">
        <v>32</v>
      </c>
      <c r="C322" t="s">
        <v>34</v>
      </c>
      <c r="D322" t="s">
        <v>98</v>
      </c>
      <c r="E322" t="s">
        <v>127</v>
      </c>
      <c r="F322" t="s">
        <v>128</v>
      </c>
      <c r="G322" t="s">
        <v>17</v>
      </c>
      <c r="H322">
        <v>0</v>
      </c>
      <c r="I322">
        <v>601</v>
      </c>
      <c r="J322">
        <v>41739</v>
      </c>
      <c r="K322">
        <v>3</v>
      </c>
      <c r="L322">
        <v>2019</v>
      </c>
    </row>
    <row r="323" spans="1:12" x14ac:dyDescent="0.3">
      <c r="A323" t="s">
        <v>79</v>
      </c>
      <c r="B323">
        <v>9</v>
      </c>
      <c r="C323" t="s">
        <v>189</v>
      </c>
      <c r="D323" t="s">
        <v>355</v>
      </c>
      <c r="E323" t="s">
        <v>15</v>
      </c>
      <c r="F323" t="s">
        <v>16</v>
      </c>
      <c r="G323" t="s">
        <v>17</v>
      </c>
      <c r="H323">
        <v>0</v>
      </c>
      <c r="I323">
        <v>40836</v>
      </c>
      <c r="J323">
        <v>2835612</v>
      </c>
      <c r="K323">
        <v>6</v>
      </c>
      <c r="L323">
        <v>2019</v>
      </c>
    </row>
    <row r="324" spans="1:12" x14ac:dyDescent="0.3">
      <c r="A324" t="s">
        <v>42</v>
      </c>
      <c r="B324">
        <v>33</v>
      </c>
      <c r="C324" t="s">
        <v>111</v>
      </c>
      <c r="D324" t="s">
        <v>241</v>
      </c>
      <c r="E324" t="s">
        <v>356</v>
      </c>
      <c r="F324" t="s">
        <v>357</v>
      </c>
      <c r="G324" t="s">
        <v>17</v>
      </c>
      <c r="H324">
        <v>0</v>
      </c>
      <c r="I324">
        <v>6110</v>
      </c>
      <c r="J324">
        <v>438994</v>
      </c>
      <c r="K324">
        <v>11</v>
      </c>
      <c r="L324">
        <v>2018</v>
      </c>
    </row>
    <row r="325" spans="1:12" x14ac:dyDescent="0.3">
      <c r="A325" t="s">
        <v>58</v>
      </c>
      <c r="B325">
        <v>27</v>
      </c>
      <c r="C325" t="s">
        <v>125</v>
      </c>
      <c r="D325" t="s">
        <v>44</v>
      </c>
      <c r="E325" t="s">
        <v>358</v>
      </c>
      <c r="F325" t="s">
        <v>359</v>
      </c>
      <c r="G325" t="s">
        <v>360</v>
      </c>
      <c r="H325">
        <v>0</v>
      </c>
      <c r="I325">
        <v>6017</v>
      </c>
      <c r="J325">
        <v>478975</v>
      </c>
      <c r="K325">
        <v>7</v>
      </c>
      <c r="L325">
        <v>2022</v>
      </c>
    </row>
    <row r="326" spans="1:12" x14ac:dyDescent="0.3">
      <c r="A326" t="s">
        <v>23</v>
      </c>
      <c r="B326">
        <v>24</v>
      </c>
      <c r="C326" t="s">
        <v>38</v>
      </c>
      <c r="D326" t="s">
        <v>277</v>
      </c>
      <c r="E326" t="s">
        <v>361</v>
      </c>
      <c r="F326" t="s">
        <v>362</v>
      </c>
      <c r="G326" t="s">
        <v>360</v>
      </c>
      <c r="H326">
        <v>0</v>
      </c>
      <c r="I326">
        <v>173</v>
      </c>
      <c r="J326">
        <v>12628</v>
      </c>
      <c r="K326">
        <v>1</v>
      </c>
      <c r="L326">
        <v>2021</v>
      </c>
    </row>
    <row r="327" spans="1:12" x14ac:dyDescent="0.3">
      <c r="A327" t="s">
        <v>23</v>
      </c>
      <c r="B327">
        <v>24</v>
      </c>
      <c r="C327" t="s">
        <v>218</v>
      </c>
      <c r="D327" t="s">
        <v>167</v>
      </c>
      <c r="E327" t="s">
        <v>363</v>
      </c>
      <c r="F327" t="s">
        <v>364</v>
      </c>
      <c r="G327" t="s">
        <v>365</v>
      </c>
      <c r="H327">
        <v>0</v>
      </c>
      <c r="I327">
        <v>1</v>
      </c>
      <c r="J327">
        <v>73</v>
      </c>
      <c r="K327">
        <v>8</v>
      </c>
      <c r="L327">
        <v>2021</v>
      </c>
    </row>
    <row r="328" spans="1:12" x14ac:dyDescent="0.3">
      <c r="A328" t="s">
        <v>23</v>
      </c>
      <c r="B328">
        <v>24</v>
      </c>
      <c r="C328" t="s">
        <v>218</v>
      </c>
      <c r="D328" t="s">
        <v>220</v>
      </c>
      <c r="E328" t="s">
        <v>366</v>
      </c>
      <c r="F328" t="s">
        <v>367</v>
      </c>
      <c r="G328" t="s">
        <v>360</v>
      </c>
      <c r="H328">
        <v>0</v>
      </c>
      <c r="I328">
        <v>3120</v>
      </c>
      <c r="J328">
        <v>210692</v>
      </c>
      <c r="K328">
        <v>5</v>
      </c>
      <c r="L328">
        <v>2018</v>
      </c>
    </row>
    <row r="329" spans="1:12" x14ac:dyDescent="0.3">
      <c r="A329" t="s">
        <v>79</v>
      </c>
      <c r="B329">
        <v>9</v>
      </c>
      <c r="C329" t="s">
        <v>189</v>
      </c>
      <c r="D329" t="s">
        <v>194</v>
      </c>
      <c r="E329" t="s">
        <v>368</v>
      </c>
      <c r="F329" t="s">
        <v>369</v>
      </c>
      <c r="G329" t="s">
        <v>360</v>
      </c>
      <c r="H329">
        <v>0</v>
      </c>
      <c r="I329">
        <v>119</v>
      </c>
      <c r="J329">
        <v>8928</v>
      </c>
      <c r="K329">
        <v>2</v>
      </c>
      <c r="L329">
        <v>2022</v>
      </c>
    </row>
    <row r="330" spans="1:12" x14ac:dyDescent="0.3">
      <c r="A330" t="s">
        <v>23</v>
      </c>
      <c r="B330">
        <v>24</v>
      </c>
      <c r="C330" t="s">
        <v>218</v>
      </c>
      <c r="D330" t="s">
        <v>153</v>
      </c>
      <c r="E330" t="s">
        <v>370</v>
      </c>
      <c r="F330" t="s">
        <v>371</v>
      </c>
      <c r="G330" t="s">
        <v>360</v>
      </c>
      <c r="H330">
        <v>0</v>
      </c>
      <c r="I330">
        <v>2687</v>
      </c>
      <c r="J330">
        <v>195580</v>
      </c>
      <c r="K330">
        <v>3</v>
      </c>
      <c r="L330">
        <v>2021</v>
      </c>
    </row>
    <row r="331" spans="1:12" x14ac:dyDescent="0.3">
      <c r="A331" t="s">
        <v>33</v>
      </c>
      <c r="B331">
        <v>32</v>
      </c>
      <c r="C331" t="s">
        <v>34</v>
      </c>
      <c r="D331" t="s">
        <v>241</v>
      </c>
      <c r="E331" t="s">
        <v>361</v>
      </c>
      <c r="F331" t="s">
        <v>362</v>
      </c>
      <c r="G331" t="s">
        <v>360</v>
      </c>
      <c r="H331">
        <v>0</v>
      </c>
      <c r="I331">
        <v>61</v>
      </c>
      <c r="J331">
        <v>4358</v>
      </c>
      <c r="K331">
        <v>2</v>
      </c>
      <c r="L331">
        <v>2020</v>
      </c>
    </row>
    <row r="332" spans="1:12" x14ac:dyDescent="0.3">
      <c r="A332" t="s">
        <v>12</v>
      </c>
      <c r="B332">
        <v>8</v>
      </c>
      <c r="C332" t="s">
        <v>372</v>
      </c>
      <c r="D332" t="s">
        <v>149</v>
      </c>
      <c r="E332" t="s">
        <v>366</v>
      </c>
      <c r="F332" t="s">
        <v>367</v>
      </c>
      <c r="G332" t="s">
        <v>360</v>
      </c>
      <c r="H332">
        <v>0</v>
      </c>
      <c r="I332">
        <v>2279</v>
      </c>
      <c r="J332">
        <v>172407</v>
      </c>
      <c r="K332">
        <v>5</v>
      </c>
      <c r="L332">
        <v>2020</v>
      </c>
    </row>
    <row r="333" spans="1:12" x14ac:dyDescent="0.3">
      <c r="A333" t="s">
        <v>58</v>
      </c>
      <c r="B333">
        <v>27</v>
      </c>
      <c r="C333" t="s">
        <v>125</v>
      </c>
      <c r="D333" t="s">
        <v>81</v>
      </c>
      <c r="E333" t="s">
        <v>366</v>
      </c>
      <c r="F333" t="s">
        <v>367</v>
      </c>
      <c r="G333" t="s">
        <v>360</v>
      </c>
      <c r="H333">
        <v>0</v>
      </c>
      <c r="I333">
        <v>130</v>
      </c>
      <c r="J333">
        <v>8944</v>
      </c>
      <c r="K333">
        <v>7</v>
      </c>
      <c r="L333">
        <v>2018</v>
      </c>
    </row>
    <row r="334" spans="1:12" x14ac:dyDescent="0.3">
      <c r="A334" t="s">
        <v>33</v>
      </c>
      <c r="B334">
        <v>32</v>
      </c>
      <c r="C334" t="s">
        <v>34</v>
      </c>
      <c r="D334" t="s">
        <v>105</v>
      </c>
      <c r="E334" t="s">
        <v>373</v>
      </c>
      <c r="F334" t="s">
        <v>374</v>
      </c>
      <c r="G334" t="s">
        <v>360</v>
      </c>
      <c r="H334">
        <v>0</v>
      </c>
      <c r="I334">
        <v>33</v>
      </c>
      <c r="J334">
        <v>2501</v>
      </c>
      <c r="K334">
        <v>4</v>
      </c>
      <c r="L334">
        <v>2022</v>
      </c>
    </row>
    <row r="335" spans="1:12" x14ac:dyDescent="0.3">
      <c r="A335" t="s">
        <v>58</v>
      </c>
      <c r="B335">
        <v>27</v>
      </c>
      <c r="C335" t="s">
        <v>125</v>
      </c>
      <c r="D335" t="s">
        <v>39</v>
      </c>
      <c r="E335" t="s">
        <v>358</v>
      </c>
      <c r="F335" t="s">
        <v>359</v>
      </c>
      <c r="G335" t="s">
        <v>360</v>
      </c>
      <c r="H335">
        <v>0</v>
      </c>
      <c r="I335">
        <v>1996</v>
      </c>
      <c r="J335">
        <v>165222</v>
      </c>
      <c r="K335">
        <v>8</v>
      </c>
      <c r="L335">
        <v>2023</v>
      </c>
    </row>
    <row r="336" spans="1:12" x14ac:dyDescent="0.3">
      <c r="A336" t="s">
        <v>42</v>
      </c>
      <c r="B336">
        <v>33</v>
      </c>
      <c r="C336" t="s">
        <v>192</v>
      </c>
      <c r="D336" t="s">
        <v>90</v>
      </c>
      <c r="E336" t="s">
        <v>370</v>
      </c>
      <c r="F336" t="s">
        <v>371</v>
      </c>
      <c r="G336" t="s">
        <v>360</v>
      </c>
      <c r="H336">
        <v>0</v>
      </c>
      <c r="I336">
        <v>227</v>
      </c>
      <c r="J336">
        <v>15617</v>
      </c>
      <c r="K336">
        <v>7</v>
      </c>
      <c r="L336">
        <v>2018</v>
      </c>
    </row>
    <row r="337" spans="1:12" x14ac:dyDescent="0.3">
      <c r="A337" t="s">
        <v>58</v>
      </c>
      <c r="B337">
        <v>27</v>
      </c>
      <c r="C337" t="s">
        <v>125</v>
      </c>
      <c r="D337" t="s">
        <v>270</v>
      </c>
      <c r="E337" t="s">
        <v>370</v>
      </c>
      <c r="F337" t="s">
        <v>371</v>
      </c>
      <c r="G337" t="s">
        <v>360</v>
      </c>
      <c r="H337">
        <v>0</v>
      </c>
      <c r="I337">
        <v>2697</v>
      </c>
      <c r="J337">
        <v>216423</v>
      </c>
      <c r="K337">
        <v>9</v>
      </c>
      <c r="L337">
        <v>2022</v>
      </c>
    </row>
    <row r="338" spans="1:12" x14ac:dyDescent="0.3">
      <c r="A338" t="s">
        <v>47</v>
      </c>
      <c r="B338">
        <v>7</v>
      </c>
      <c r="C338" t="s">
        <v>48</v>
      </c>
      <c r="D338" t="s">
        <v>159</v>
      </c>
      <c r="E338" t="s">
        <v>375</v>
      </c>
      <c r="F338" t="s">
        <v>376</v>
      </c>
      <c r="G338" t="s">
        <v>365</v>
      </c>
      <c r="H338">
        <v>0</v>
      </c>
      <c r="I338">
        <v>34</v>
      </c>
      <c r="J338">
        <v>2523</v>
      </c>
      <c r="K338">
        <v>1</v>
      </c>
      <c r="L338">
        <v>2022</v>
      </c>
    </row>
    <row r="339" spans="1:12" x14ac:dyDescent="0.3">
      <c r="A339" t="s">
        <v>47</v>
      </c>
      <c r="B339">
        <v>7</v>
      </c>
      <c r="C339" t="s">
        <v>48</v>
      </c>
      <c r="D339" t="s">
        <v>377</v>
      </c>
      <c r="E339" t="s">
        <v>378</v>
      </c>
      <c r="F339" t="s">
        <v>379</v>
      </c>
      <c r="G339" t="s">
        <v>360</v>
      </c>
      <c r="H339">
        <v>0</v>
      </c>
      <c r="I339">
        <v>306</v>
      </c>
      <c r="J339">
        <v>19462</v>
      </c>
      <c r="K339">
        <v>1</v>
      </c>
      <c r="L339">
        <v>2018</v>
      </c>
    </row>
    <row r="340" spans="1:12" x14ac:dyDescent="0.3">
      <c r="A340" t="s">
        <v>23</v>
      </c>
      <c r="B340">
        <v>24</v>
      </c>
      <c r="C340" t="s">
        <v>38</v>
      </c>
      <c r="D340" t="s">
        <v>344</v>
      </c>
      <c r="E340" t="s">
        <v>370</v>
      </c>
      <c r="F340" t="s">
        <v>371</v>
      </c>
      <c r="G340" t="s">
        <v>360</v>
      </c>
      <c r="H340">
        <v>14</v>
      </c>
      <c r="I340">
        <v>28911</v>
      </c>
      <c r="J340">
        <v>2168168</v>
      </c>
      <c r="K340">
        <v>7</v>
      </c>
      <c r="L340">
        <v>2020</v>
      </c>
    </row>
    <row r="341" spans="1:12" x14ac:dyDescent="0.3">
      <c r="A341" t="s">
        <v>58</v>
      </c>
      <c r="B341">
        <v>27</v>
      </c>
      <c r="C341" t="s">
        <v>59</v>
      </c>
      <c r="D341" t="s">
        <v>149</v>
      </c>
      <c r="E341" t="s">
        <v>358</v>
      </c>
      <c r="F341" t="s">
        <v>359</v>
      </c>
      <c r="G341" t="s">
        <v>360</v>
      </c>
      <c r="H341">
        <v>536</v>
      </c>
      <c r="I341">
        <v>527467</v>
      </c>
      <c r="J341">
        <v>43431715</v>
      </c>
      <c r="K341">
        <v>10</v>
      </c>
      <c r="L341">
        <v>2022</v>
      </c>
    </row>
    <row r="342" spans="1:12" x14ac:dyDescent="0.3">
      <c r="A342" t="s">
        <v>23</v>
      </c>
      <c r="B342">
        <v>24</v>
      </c>
      <c r="C342" t="s">
        <v>235</v>
      </c>
      <c r="D342" t="s">
        <v>380</v>
      </c>
      <c r="E342" t="s">
        <v>366</v>
      </c>
      <c r="F342" t="s">
        <v>367</v>
      </c>
      <c r="G342" t="s">
        <v>360</v>
      </c>
      <c r="H342">
        <v>6</v>
      </c>
      <c r="I342">
        <v>13428</v>
      </c>
      <c r="J342">
        <v>969692</v>
      </c>
      <c r="K342">
        <v>9</v>
      </c>
      <c r="L342">
        <v>2018</v>
      </c>
    </row>
    <row r="343" spans="1:12" x14ac:dyDescent="0.3">
      <c r="A343" t="s">
        <v>23</v>
      </c>
      <c r="B343">
        <v>24</v>
      </c>
      <c r="C343" t="s">
        <v>38</v>
      </c>
      <c r="D343" t="s">
        <v>145</v>
      </c>
      <c r="E343" t="s">
        <v>358</v>
      </c>
      <c r="F343" t="s">
        <v>359</v>
      </c>
      <c r="G343" t="s">
        <v>360</v>
      </c>
      <c r="H343">
        <v>21</v>
      </c>
      <c r="I343">
        <v>78027</v>
      </c>
      <c r="J343">
        <v>5716879</v>
      </c>
      <c r="K343">
        <v>5</v>
      </c>
      <c r="L343">
        <v>2021</v>
      </c>
    </row>
    <row r="344" spans="1:12" x14ac:dyDescent="0.3">
      <c r="A344" t="s">
        <v>58</v>
      </c>
      <c r="B344">
        <v>27</v>
      </c>
      <c r="C344" t="s">
        <v>59</v>
      </c>
      <c r="D344" t="s">
        <v>149</v>
      </c>
      <c r="E344" t="s">
        <v>358</v>
      </c>
      <c r="F344" t="s">
        <v>359</v>
      </c>
      <c r="G344" t="s">
        <v>360</v>
      </c>
      <c r="H344">
        <v>734</v>
      </c>
      <c r="I344">
        <v>605202</v>
      </c>
      <c r="J344">
        <v>45829986</v>
      </c>
      <c r="K344">
        <v>6</v>
      </c>
      <c r="L344">
        <v>2020</v>
      </c>
    </row>
    <row r="345" spans="1:12" x14ac:dyDescent="0.3">
      <c r="A345" t="s">
        <v>137</v>
      </c>
      <c r="B345">
        <v>36</v>
      </c>
      <c r="C345" t="s">
        <v>138</v>
      </c>
      <c r="D345" t="s">
        <v>190</v>
      </c>
      <c r="E345" t="s">
        <v>358</v>
      </c>
      <c r="F345" t="s">
        <v>359</v>
      </c>
      <c r="G345" t="s">
        <v>360</v>
      </c>
      <c r="H345">
        <v>1</v>
      </c>
      <c r="I345">
        <v>2163</v>
      </c>
      <c r="J345">
        <v>155422</v>
      </c>
      <c r="K345">
        <v>11</v>
      </c>
      <c r="L345">
        <v>2018</v>
      </c>
    </row>
    <row r="346" spans="1:12" x14ac:dyDescent="0.3">
      <c r="A346" t="s">
        <v>132</v>
      </c>
      <c r="B346">
        <v>19</v>
      </c>
      <c r="C346" t="s">
        <v>381</v>
      </c>
      <c r="D346" t="s">
        <v>81</v>
      </c>
      <c r="E346" t="s">
        <v>382</v>
      </c>
      <c r="F346" t="s">
        <v>383</v>
      </c>
      <c r="G346" t="s">
        <v>360</v>
      </c>
      <c r="H346">
        <v>54532</v>
      </c>
      <c r="I346">
        <v>6645512</v>
      </c>
      <c r="J346">
        <v>432099809</v>
      </c>
      <c r="K346">
        <v>3</v>
      </c>
      <c r="L346">
        <v>2018</v>
      </c>
    </row>
    <row r="347" spans="1:12" x14ac:dyDescent="0.3">
      <c r="A347" t="s">
        <v>23</v>
      </c>
      <c r="B347">
        <v>24</v>
      </c>
      <c r="C347" t="s">
        <v>295</v>
      </c>
      <c r="D347" t="s">
        <v>159</v>
      </c>
      <c r="E347" t="s">
        <v>370</v>
      </c>
      <c r="F347" t="s">
        <v>371</v>
      </c>
      <c r="G347" t="s">
        <v>360</v>
      </c>
      <c r="H347">
        <v>2</v>
      </c>
      <c r="I347">
        <v>1670</v>
      </c>
      <c r="J347">
        <v>115995</v>
      </c>
      <c r="K347">
        <v>3</v>
      </c>
      <c r="L347">
        <v>2019</v>
      </c>
    </row>
    <row r="348" spans="1:12" x14ac:dyDescent="0.3">
      <c r="A348" t="s">
        <v>28</v>
      </c>
      <c r="B348">
        <v>29</v>
      </c>
      <c r="C348" t="s">
        <v>236</v>
      </c>
      <c r="D348" t="s">
        <v>14</v>
      </c>
      <c r="E348" t="s">
        <v>358</v>
      </c>
      <c r="F348" t="s">
        <v>359</v>
      </c>
      <c r="G348" t="s">
        <v>360</v>
      </c>
      <c r="H348">
        <v>4</v>
      </c>
      <c r="I348">
        <v>38668</v>
      </c>
      <c r="J348">
        <v>2896795</v>
      </c>
      <c r="K348">
        <v>10</v>
      </c>
      <c r="L348">
        <v>2021</v>
      </c>
    </row>
    <row r="349" spans="1:12" x14ac:dyDescent="0.3">
      <c r="A349" t="s">
        <v>137</v>
      </c>
      <c r="B349">
        <v>36</v>
      </c>
      <c r="C349" t="s">
        <v>384</v>
      </c>
      <c r="D349" t="s">
        <v>269</v>
      </c>
      <c r="E349" t="s">
        <v>385</v>
      </c>
      <c r="F349" t="s">
        <v>386</v>
      </c>
      <c r="G349" t="s">
        <v>360</v>
      </c>
      <c r="H349">
        <v>35</v>
      </c>
      <c r="I349">
        <v>31515</v>
      </c>
      <c r="J349">
        <v>2251799</v>
      </c>
      <c r="K349">
        <v>11</v>
      </c>
      <c r="L349">
        <v>2019</v>
      </c>
    </row>
    <row r="350" spans="1:12" x14ac:dyDescent="0.3">
      <c r="A350" t="s">
        <v>58</v>
      </c>
      <c r="B350">
        <v>27</v>
      </c>
      <c r="C350" t="s">
        <v>387</v>
      </c>
      <c r="D350" t="s">
        <v>328</v>
      </c>
      <c r="E350" t="s">
        <v>366</v>
      </c>
      <c r="F350" t="s">
        <v>367</v>
      </c>
      <c r="G350" t="s">
        <v>360</v>
      </c>
      <c r="H350">
        <v>32</v>
      </c>
      <c r="I350">
        <v>33319</v>
      </c>
      <c r="J350">
        <v>2472954</v>
      </c>
      <c r="K350">
        <v>11</v>
      </c>
      <c r="L350">
        <v>2020</v>
      </c>
    </row>
    <row r="351" spans="1:12" x14ac:dyDescent="0.3">
      <c r="A351" t="s">
        <v>58</v>
      </c>
      <c r="B351">
        <v>27</v>
      </c>
      <c r="C351" t="s">
        <v>59</v>
      </c>
      <c r="D351" t="s">
        <v>303</v>
      </c>
      <c r="E351" t="s">
        <v>388</v>
      </c>
      <c r="F351" t="s">
        <v>389</v>
      </c>
      <c r="G351" t="s">
        <v>390</v>
      </c>
      <c r="H351">
        <v>999</v>
      </c>
      <c r="I351">
        <v>15002</v>
      </c>
      <c r="J351">
        <v>1135083</v>
      </c>
      <c r="K351">
        <v>5</v>
      </c>
      <c r="L351">
        <v>2020</v>
      </c>
    </row>
    <row r="352" spans="1:12" x14ac:dyDescent="0.3">
      <c r="A352" t="s">
        <v>58</v>
      </c>
      <c r="B352">
        <v>27</v>
      </c>
      <c r="C352" t="s">
        <v>59</v>
      </c>
      <c r="D352" t="s">
        <v>225</v>
      </c>
      <c r="E352" t="s">
        <v>391</v>
      </c>
      <c r="F352" t="s">
        <v>392</v>
      </c>
      <c r="G352" t="s">
        <v>393</v>
      </c>
      <c r="H352">
        <v>4</v>
      </c>
      <c r="I352">
        <v>7395</v>
      </c>
      <c r="J352">
        <v>593288</v>
      </c>
      <c r="K352">
        <v>9</v>
      </c>
      <c r="L352">
        <v>2022</v>
      </c>
    </row>
    <row r="353" spans="1:12" x14ac:dyDescent="0.3">
      <c r="A353" t="s">
        <v>23</v>
      </c>
      <c r="B353">
        <v>24</v>
      </c>
      <c r="C353" t="s">
        <v>24</v>
      </c>
      <c r="D353" t="s">
        <v>171</v>
      </c>
      <c r="E353" t="s">
        <v>366</v>
      </c>
      <c r="F353" t="s">
        <v>367</v>
      </c>
      <c r="G353" t="s">
        <v>360</v>
      </c>
      <c r="H353">
        <v>18</v>
      </c>
      <c r="I353">
        <v>68341</v>
      </c>
      <c r="J353">
        <v>5175232</v>
      </c>
      <c r="K353">
        <v>6</v>
      </c>
      <c r="L353">
        <v>2020</v>
      </c>
    </row>
    <row r="354" spans="1:12" x14ac:dyDescent="0.3">
      <c r="A354" t="s">
        <v>58</v>
      </c>
      <c r="B354">
        <v>27</v>
      </c>
      <c r="C354" t="s">
        <v>216</v>
      </c>
      <c r="D354" t="s">
        <v>394</v>
      </c>
      <c r="E354" t="s">
        <v>395</v>
      </c>
      <c r="F354" t="s">
        <v>396</v>
      </c>
      <c r="G354" t="s">
        <v>393</v>
      </c>
      <c r="H354">
        <v>4</v>
      </c>
      <c r="I354">
        <v>22601</v>
      </c>
      <c r="J354">
        <v>1526460</v>
      </c>
      <c r="K354">
        <v>5</v>
      </c>
      <c r="L354">
        <v>2018</v>
      </c>
    </row>
    <row r="355" spans="1:12" x14ac:dyDescent="0.3">
      <c r="A355" t="s">
        <v>42</v>
      </c>
      <c r="B355">
        <v>33</v>
      </c>
      <c r="C355" t="s">
        <v>67</v>
      </c>
      <c r="D355" t="s">
        <v>175</v>
      </c>
      <c r="E355" t="s">
        <v>391</v>
      </c>
      <c r="F355" t="s">
        <v>392</v>
      </c>
      <c r="G355" t="s">
        <v>393</v>
      </c>
      <c r="H355">
        <v>460</v>
      </c>
      <c r="I355">
        <v>342769</v>
      </c>
      <c r="J355">
        <v>25215268</v>
      </c>
      <c r="K355">
        <v>9</v>
      </c>
      <c r="L355">
        <v>2021</v>
      </c>
    </row>
    <row r="356" spans="1:12" x14ac:dyDescent="0.3">
      <c r="A356" t="s">
        <v>23</v>
      </c>
      <c r="B356">
        <v>24</v>
      </c>
      <c r="C356" t="s">
        <v>397</v>
      </c>
      <c r="D356" t="s">
        <v>115</v>
      </c>
      <c r="E356" t="s">
        <v>398</v>
      </c>
      <c r="F356" t="s">
        <v>399</v>
      </c>
      <c r="G356" t="s">
        <v>360</v>
      </c>
      <c r="H356">
        <v>16816</v>
      </c>
      <c r="I356">
        <v>16091344</v>
      </c>
      <c r="J356">
        <v>1324962866</v>
      </c>
      <c r="K356">
        <v>10</v>
      </c>
      <c r="L356">
        <v>2022</v>
      </c>
    </row>
    <row r="357" spans="1:12" x14ac:dyDescent="0.3">
      <c r="A357" t="s">
        <v>132</v>
      </c>
      <c r="B357">
        <v>19</v>
      </c>
      <c r="C357" t="s">
        <v>400</v>
      </c>
      <c r="D357" t="s">
        <v>126</v>
      </c>
      <c r="E357" t="s">
        <v>401</v>
      </c>
      <c r="F357" t="s">
        <v>402</v>
      </c>
      <c r="G357" t="s">
        <v>360</v>
      </c>
      <c r="H357">
        <v>2748</v>
      </c>
      <c r="I357">
        <v>1068847</v>
      </c>
      <c r="J357">
        <v>79599372</v>
      </c>
      <c r="K357">
        <v>4</v>
      </c>
      <c r="L357">
        <v>2021</v>
      </c>
    </row>
    <row r="358" spans="1:12" x14ac:dyDescent="0.3">
      <c r="A358" t="s">
        <v>42</v>
      </c>
      <c r="B358">
        <v>33</v>
      </c>
      <c r="C358" t="s">
        <v>223</v>
      </c>
      <c r="D358" t="s">
        <v>94</v>
      </c>
      <c r="E358" t="s">
        <v>391</v>
      </c>
      <c r="F358" t="s">
        <v>392</v>
      </c>
      <c r="G358" t="s">
        <v>393</v>
      </c>
      <c r="H358">
        <v>92</v>
      </c>
      <c r="I358">
        <v>81637</v>
      </c>
      <c r="J358">
        <v>5981334</v>
      </c>
      <c r="K358">
        <v>5</v>
      </c>
      <c r="L358">
        <v>2021</v>
      </c>
    </row>
    <row r="359" spans="1:12" x14ac:dyDescent="0.3">
      <c r="A359" t="s">
        <v>79</v>
      </c>
      <c r="B359">
        <v>9</v>
      </c>
      <c r="C359" t="s">
        <v>351</v>
      </c>
      <c r="D359" t="s">
        <v>334</v>
      </c>
      <c r="E359" t="s">
        <v>403</v>
      </c>
      <c r="F359" t="s">
        <v>404</v>
      </c>
      <c r="G359" t="s">
        <v>360</v>
      </c>
      <c r="H359">
        <v>112</v>
      </c>
      <c r="I359">
        <v>350108</v>
      </c>
      <c r="J359">
        <v>28983842</v>
      </c>
      <c r="K359">
        <v>8</v>
      </c>
      <c r="L359">
        <v>2023</v>
      </c>
    </row>
    <row r="360" spans="1:12" x14ac:dyDescent="0.3">
      <c r="A360" t="s">
        <v>275</v>
      </c>
      <c r="B360">
        <v>28</v>
      </c>
      <c r="C360" t="s">
        <v>405</v>
      </c>
      <c r="D360" t="s">
        <v>115</v>
      </c>
      <c r="E360" t="s">
        <v>358</v>
      </c>
      <c r="F360" t="s">
        <v>359</v>
      </c>
      <c r="G360" t="s">
        <v>360</v>
      </c>
      <c r="H360">
        <v>2800</v>
      </c>
      <c r="I360">
        <v>2940446</v>
      </c>
      <c r="J360">
        <v>211283418</v>
      </c>
      <c r="K360">
        <v>11</v>
      </c>
      <c r="L360">
        <v>2018</v>
      </c>
    </row>
    <row r="361" spans="1:12" x14ac:dyDescent="0.3">
      <c r="A361" t="s">
        <v>23</v>
      </c>
      <c r="B361">
        <v>24</v>
      </c>
      <c r="C361" t="s">
        <v>24</v>
      </c>
      <c r="D361" t="s">
        <v>303</v>
      </c>
      <c r="E361" t="s">
        <v>385</v>
      </c>
      <c r="F361" t="s">
        <v>386</v>
      </c>
      <c r="G361" t="s">
        <v>360</v>
      </c>
      <c r="H361">
        <v>3</v>
      </c>
      <c r="I361">
        <v>5212</v>
      </c>
      <c r="J361">
        <v>428889</v>
      </c>
      <c r="K361">
        <v>3</v>
      </c>
      <c r="L361">
        <v>2023</v>
      </c>
    </row>
    <row r="362" spans="1:12" x14ac:dyDescent="0.3">
      <c r="A362" t="s">
        <v>23</v>
      </c>
      <c r="B362">
        <v>24</v>
      </c>
      <c r="C362" t="s">
        <v>38</v>
      </c>
      <c r="D362" t="s">
        <v>215</v>
      </c>
      <c r="E362" t="s">
        <v>406</v>
      </c>
      <c r="F362" t="s">
        <v>407</v>
      </c>
      <c r="G362" t="s">
        <v>360</v>
      </c>
      <c r="H362">
        <v>1</v>
      </c>
      <c r="I362">
        <v>1922</v>
      </c>
      <c r="J362">
        <v>123715</v>
      </c>
      <c r="K362">
        <v>2</v>
      </c>
      <c r="L362">
        <v>2018</v>
      </c>
    </row>
    <row r="363" spans="1:12" x14ac:dyDescent="0.3">
      <c r="A363" t="s">
        <v>58</v>
      </c>
      <c r="B363">
        <v>27</v>
      </c>
      <c r="C363" t="s">
        <v>290</v>
      </c>
      <c r="D363" t="s">
        <v>229</v>
      </c>
      <c r="E363" t="s">
        <v>378</v>
      </c>
      <c r="F363" t="s">
        <v>379</v>
      </c>
      <c r="G363" t="s">
        <v>360</v>
      </c>
      <c r="H363">
        <v>81</v>
      </c>
      <c r="I363">
        <v>192123</v>
      </c>
      <c r="J363">
        <v>14301925</v>
      </c>
      <c r="K363">
        <v>1</v>
      </c>
      <c r="L363">
        <v>2022</v>
      </c>
    </row>
    <row r="364" spans="1:12" x14ac:dyDescent="0.3">
      <c r="A364" t="s">
        <v>137</v>
      </c>
      <c r="B364">
        <v>36</v>
      </c>
      <c r="C364" t="s">
        <v>138</v>
      </c>
      <c r="D364" t="s">
        <v>243</v>
      </c>
      <c r="E364" t="s">
        <v>385</v>
      </c>
      <c r="F364" t="s">
        <v>386</v>
      </c>
      <c r="G364" t="s">
        <v>360</v>
      </c>
      <c r="H364">
        <v>21</v>
      </c>
      <c r="I364">
        <v>23926</v>
      </c>
      <c r="J364">
        <v>1622003</v>
      </c>
      <c r="K364">
        <v>6</v>
      </c>
      <c r="L364">
        <v>2018</v>
      </c>
    </row>
    <row r="365" spans="1:12" x14ac:dyDescent="0.3">
      <c r="A365" t="s">
        <v>42</v>
      </c>
      <c r="B365">
        <v>33</v>
      </c>
      <c r="C365" t="s">
        <v>264</v>
      </c>
      <c r="D365" t="s">
        <v>153</v>
      </c>
      <c r="E365" t="s">
        <v>370</v>
      </c>
      <c r="F365" t="s">
        <v>371</v>
      </c>
      <c r="G365" t="s">
        <v>360</v>
      </c>
      <c r="H365">
        <v>9</v>
      </c>
      <c r="I365">
        <v>49808</v>
      </c>
      <c r="J365">
        <v>4074842</v>
      </c>
      <c r="K365">
        <v>11</v>
      </c>
      <c r="L365">
        <v>2022</v>
      </c>
    </row>
    <row r="366" spans="1:12" x14ac:dyDescent="0.3">
      <c r="A366" t="s">
        <v>47</v>
      </c>
      <c r="B366">
        <v>7</v>
      </c>
      <c r="C366" t="s">
        <v>51</v>
      </c>
      <c r="D366" t="s">
        <v>98</v>
      </c>
      <c r="E366" t="s">
        <v>408</v>
      </c>
      <c r="F366" t="s">
        <v>409</v>
      </c>
      <c r="G366" t="s">
        <v>410</v>
      </c>
      <c r="H366">
        <v>1035</v>
      </c>
      <c r="I366">
        <v>3842</v>
      </c>
      <c r="J366">
        <v>297096</v>
      </c>
      <c r="K366">
        <v>5</v>
      </c>
      <c r="L366">
        <v>2022</v>
      </c>
    </row>
    <row r="367" spans="1:12" x14ac:dyDescent="0.3">
      <c r="A367" t="s">
        <v>12</v>
      </c>
      <c r="B367">
        <v>8</v>
      </c>
      <c r="C367" t="s">
        <v>411</v>
      </c>
      <c r="D367" t="s">
        <v>35</v>
      </c>
      <c r="E367" t="s">
        <v>366</v>
      </c>
      <c r="F367" t="s">
        <v>367</v>
      </c>
      <c r="G367" t="s">
        <v>360</v>
      </c>
      <c r="H367">
        <v>291</v>
      </c>
      <c r="I367">
        <v>912775</v>
      </c>
      <c r="J367">
        <v>67948427</v>
      </c>
      <c r="K367">
        <v>1</v>
      </c>
      <c r="L367">
        <v>2022</v>
      </c>
    </row>
    <row r="368" spans="1:12" x14ac:dyDescent="0.3">
      <c r="A368" t="s">
        <v>42</v>
      </c>
      <c r="B368">
        <v>33</v>
      </c>
      <c r="C368" t="s">
        <v>43</v>
      </c>
      <c r="D368" t="s">
        <v>355</v>
      </c>
      <c r="E368" t="s">
        <v>395</v>
      </c>
      <c r="F368" t="s">
        <v>396</v>
      </c>
      <c r="G368" t="s">
        <v>393</v>
      </c>
      <c r="H368">
        <v>1</v>
      </c>
      <c r="I368">
        <v>12606</v>
      </c>
      <c r="J368">
        <v>945470</v>
      </c>
      <c r="K368">
        <v>2</v>
      </c>
      <c r="L368">
        <v>2022</v>
      </c>
    </row>
    <row r="369" spans="1:12" x14ac:dyDescent="0.3">
      <c r="A369" t="s">
        <v>18</v>
      </c>
      <c r="B369">
        <v>6</v>
      </c>
      <c r="C369" t="s">
        <v>233</v>
      </c>
      <c r="D369" t="s">
        <v>98</v>
      </c>
      <c r="E369" t="s">
        <v>103</v>
      </c>
      <c r="F369" t="s">
        <v>104</v>
      </c>
      <c r="G369" t="s">
        <v>393</v>
      </c>
      <c r="H369">
        <v>1450</v>
      </c>
      <c r="I369">
        <v>2700</v>
      </c>
      <c r="J369">
        <v>204299</v>
      </c>
      <c r="K369">
        <v>5</v>
      </c>
      <c r="L369">
        <v>2020</v>
      </c>
    </row>
    <row r="370" spans="1:12" x14ac:dyDescent="0.3">
      <c r="A370" t="s">
        <v>28</v>
      </c>
      <c r="B370">
        <v>29</v>
      </c>
      <c r="C370" t="s">
        <v>236</v>
      </c>
      <c r="D370" t="s">
        <v>35</v>
      </c>
      <c r="E370" t="s">
        <v>358</v>
      </c>
      <c r="F370" t="s">
        <v>359</v>
      </c>
      <c r="G370" t="s">
        <v>360</v>
      </c>
      <c r="H370">
        <v>1</v>
      </c>
      <c r="I370">
        <v>2323</v>
      </c>
      <c r="J370">
        <v>172683</v>
      </c>
      <c r="K370">
        <v>3</v>
      </c>
      <c r="L370">
        <v>2020</v>
      </c>
    </row>
    <row r="371" spans="1:12" x14ac:dyDescent="0.3">
      <c r="A371" t="s">
        <v>132</v>
      </c>
      <c r="B371">
        <v>19</v>
      </c>
      <c r="C371" t="s">
        <v>133</v>
      </c>
      <c r="D371" t="s">
        <v>190</v>
      </c>
      <c r="E371" t="s">
        <v>361</v>
      </c>
      <c r="F371" t="s">
        <v>362</v>
      </c>
      <c r="G371" t="s">
        <v>360</v>
      </c>
      <c r="H371">
        <v>2</v>
      </c>
      <c r="I371">
        <v>2918</v>
      </c>
      <c r="J371">
        <v>202962</v>
      </c>
      <c r="K371">
        <v>8</v>
      </c>
      <c r="L371">
        <v>2018</v>
      </c>
    </row>
    <row r="372" spans="1:12" x14ac:dyDescent="0.3">
      <c r="A372" t="s">
        <v>132</v>
      </c>
      <c r="B372">
        <v>19</v>
      </c>
      <c r="C372" t="s">
        <v>209</v>
      </c>
      <c r="D372" t="s">
        <v>412</v>
      </c>
      <c r="E372" t="s">
        <v>401</v>
      </c>
      <c r="F372" t="s">
        <v>402</v>
      </c>
      <c r="G372" t="s">
        <v>360</v>
      </c>
      <c r="H372">
        <v>106</v>
      </c>
      <c r="I372">
        <v>46483</v>
      </c>
      <c r="J372">
        <v>3806905</v>
      </c>
      <c r="K372">
        <v>1</v>
      </c>
      <c r="L372">
        <v>2023</v>
      </c>
    </row>
    <row r="373" spans="1:12" x14ac:dyDescent="0.3">
      <c r="A373" t="s">
        <v>413</v>
      </c>
      <c r="B373">
        <v>10</v>
      </c>
      <c r="C373" t="s">
        <v>414</v>
      </c>
      <c r="D373" t="s">
        <v>81</v>
      </c>
      <c r="E373" t="s">
        <v>415</v>
      </c>
      <c r="F373" t="s">
        <v>416</v>
      </c>
      <c r="G373" t="s">
        <v>360</v>
      </c>
      <c r="H373">
        <v>1134</v>
      </c>
      <c r="I373">
        <v>231217</v>
      </c>
      <c r="J373">
        <v>16488990</v>
      </c>
      <c r="K373">
        <v>1</v>
      </c>
      <c r="L373">
        <v>2020</v>
      </c>
    </row>
    <row r="374" spans="1:12" x14ac:dyDescent="0.3">
      <c r="A374" t="s">
        <v>58</v>
      </c>
      <c r="B374">
        <v>27</v>
      </c>
      <c r="C374" t="s">
        <v>387</v>
      </c>
      <c r="D374" t="s">
        <v>35</v>
      </c>
      <c r="E374" t="s">
        <v>408</v>
      </c>
      <c r="F374" t="s">
        <v>409</v>
      </c>
      <c r="G374" t="s">
        <v>410</v>
      </c>
      <c r="H374">
        <v>123820</v>
      </c>
      <c r="I374">
        <v>137977</v>
      </c>
      <c r="J374">
        <v>11287994</v>
      </c>
      <c r="K374">
        <v>11</v>
      </c>
      <c r="L374">
        <v>2022</v>
      </c>
    </row>
    <row r="375" spans="1:12" x14ac:dyDescent="0.3">
      <c r="A375" t="s">
        <v>58</v>
      </c>
      <c r="B375">
        <v>27</v>
      </c>
      <c r="C375" t="s">
        <v>59</v>
      </c>
      <c r="D375" t="s">
        <v>417</v>
      </c>
      <c r="E375" t="s">
        <v>358</v>
      </c>
      <c r="F375" t="s">
        <v>359</v>
      </c>
      <c r="G375" t="s">
        <v>360</v>
      </c>
      <c r="H375">
        <v>7</v>
      </c>
      <c r="I375">
        <v>9266</v>
      </c>
      <c r="J375">
        <v>681924</v>
      </c>
      <c r="K375">
        <v>12</v>
      </c>
      <c r="L375">
        <v>2020</v>
      </c>
    </row>
    <row r="376" spans="1:12" x14ac:dyDescent="0.3">
      <c r="A376" t="s">
        <v>132</v>
      </c>
      <c r="B376">
        <v>19</v>
      </c>
      <c r="C376" t="s">
        <v>209</v>
      </c>
      <c r="D376" t="s">
        <v>120</v>
      </c>
      <c r="E376" t="s">
        <v>401</v>
      </c>
      <c r="F376" t="s">
        <v>402</v>
      </c>
      <c r="G376" t="s">
        <v>360</v>
      </c>
      <c r="H376">
        <v>500</v>
      </c>
      <c r="I376">
        <v>183813</v>
      </c>
      <c r="J376">
        <v>13520960</v>
      </c>
      <c r="K376">
        <v>6</v>
      </c>
      <c r="L376">
        <v>2021</v>
      </c>
    </row>
    <row r="377" spans="1:12" x14ac:dyDescent="0.3">
      <c r="A377" t="s">
        <v>58</v>
      </c>
      <c r="B377">
        <v>27</v>
      </c>
      <c r="C377" t="s">
        <v>59</v>
      </c>
      <c r="D377" t="s">
        <v>294</v>
      </c>
      <c r="E377" t="s">
        <v>103</v>
      </c>
      <c r="F377" t="s">
        <v>104</v>
      </c>
      <c r="G377" t="s">
        <v>393</v>
      </c>
      <c r="H377">
        <v>1874</v>
      </c>
      <c r="I377">
        <v>331638</v>
      </c>
      <c r="J377">
        <v>23594615</v>
      </c>
      <c r="K377">
        <v>8</v>
      </c>
      <c r="L377">
        <v>2019</v>
      </c>
    </row>
    <row r="378" spans="1:12" x14ac:dyDescent="0.3">
      <c r="A378" t="s">
        <v>23</v>
      </c>
      <c r="B378">
        <v>24</v>
      </c>
      <c r="C378" t="s">
        <v>24</v>
      </c>
      <c r="D378" t="s">
        <v>20</v>
      </c>
      <c r="E378" t="s">
        <v>418</v>
      </c>
      <c r="F378" t="s">
        <v>419</v>
      </c>
      <c r="G378" t="s">
        <v>360</v>
      </c>
      <c r="H378">
        <v>96</v>
      </c>
      <c r="I378">
        <v>20774</v>
      </c>
      <c r="J378">
        <v>1706651</v>
      </c>
      <c r="K378">
        <v>7</v>
      </c>
      <c r="L378">
        <v>2023</v>
      </c>
    </row>
    <row r="379" spans="1:12" x14ac:dyDescent="0.3">
      <c r="A379" t="s">
        <v>23</v>
      </c>
      <c r="B379">
        <v>24</v>
      </c>
      <c r="C379" t="s">
        <v>24</v>
      </c>
      <c r="D379" t="s">
        <v>153</v>
      </c>
      <c r="E379" t="s">
        <v>378</v>
      </c>
      <c r="F379" t="s">
        <v>379</v>
      </c>
      <c r="G379" t="s">
        <v>360</v>
      </c>
      <c r="H379">
        <v>358</v>
      </c>
      <c r="I379">
        <v>1201588</v>
      </c>
      <c r="J379">
        <v>83566267</v>
      </c>
      <c r="K379">
        <v>8</v>
      </c>
      <c r="L379">
        <v>2018</v>
      </c>
    </row>
    <row r="380" spans="1:12" x14ac:dyDescent="0.3">
      <c r="A380" t="s">
        <v>23</v>
      </c>
      <c r="B380">
        <v>24</v>
      </c>
      <c r="C380" t="s">
        <v>420</v>
      </c>
      <c r="D380" t="s">
        <v>68</v>
      </c>
      <c r="E380" t="s">
        <v>421</v>
      </c>
      <c r="F380" t="s">
        <v>422</v>
      </c>
      <c r="G380" t="s">
        <v>360</v>
      </c>
      <c r="H380">
        <v>2964</v>
      </c>
      <c r="I380">
        <v>2867197</v>
      </c>
      <c r="J380">
        <v>228099891</v>
      </c>
      <c r="K380">
        <v>8</v>
      </c>
      <c r="L380">
        <v>2022</v>
      </c>
    </row>
    <row r="381" spans="1:12" x14ac:dyDescent="0.3">
      <c r="A381" t="s">
        <v>18</v>
      </c>
      <c r="B381">
        <v>6</v>
      </c>
      <c r="C381" t="s">
        <v>19</v>
      </c>
      <c r="D381" t="s">
        <v>180</v>
      </c>
      <c r="E381" t="s">
        <v>391</v>
      </c>
      <c r="F381" t="s">
        <v>392</v>
      </c>
      <c r="G381" t="s">
        <v>393</v>
      </c>
      <c r="H381">
        <v>5633</v>
      </c>
      <c r="I381">
        <v>4203218</v>
      </c>
      <c r="J381">
        <v>309202976</v>
      </c>
      <c r="K381">
        <v>9</v>
      </c>
      <c r="L381">
        <v>2021</v>
      </c>
    </row>
    <row r="382" spans="1:12" x14ac:dyDescent="0.3">
      <c r="A382" t="s">
        <v>42</v>
      </c>
      <c r="B382">
        <v>33</v>
      </c>
      <c r="C382" t="s">
        <v>423</v>
      </c>
      <c r="D382" t="s">
        <v>76</v>
      </c>
      <c r="E382" t="s">
        <v>424</v>
      </c>
      <c r="F382" t="s">
        <v>425</v>
      </c>
      <c r="G382" t="s">
        <v>360</v>
      </c>
      <c r="H382">
        <v>270</v>
      </c>
      <c r="I382">
        <v>93614</v>
      </c>
      <c r="J382">
        <v>7089103</v>
      </c>
      <c r="K382">
        <v>6</v>
      </c>
      <c r="L382">
        <v>2020</v>
      </c>
    </row>
    <row r="383" spans="1:12" x14ac:dyDescent="0.3">
      <c r="A383" t="s">
        <v>12</v>
      </c>
      <c r="B383">
        <v>8</v>
      </c>
      <c r="C383" t="s">
        <v>326</v>
      </c>
      <c r="D383" t="s">
        <v>320</v>
      </c>
      <c r="E383" t="s">
        <v>370</v>
      </c>
      <c r="F383" t="s">
        <v>371</v>
      </c>
      <c r="G383" t="s">
        <v>360</v>
      </c>
      <c r="H383">
        <v>1</v>
      </c>
      <c r="I383">
        <v>7769</v>
      </c>
      <c r="J383">
        <v>582669</v>
      </c>
      <c r="K383">
        <v>2</v>
      </c>
      <c r="L383">
        <v>2022</v>
      </c>
    </row>
    <row r="384" spans="1:12" x14ac:dyDescent="0.3">
      <c r="A384" t="s">
        <v>18</v>
      </c>
      <c r="B384">
        <v>6</v>
      </c>
      <c r="C384" t="s">
        <v>97</v>
      </c>
      <c r="D384" t="s">
        <v>220</v>
      </c>
      <c r="E384" t="s">
        <v>378</v>
      </c>
      <c r="F384" t="s">
        <v>379</v>
      </c>
      <c r="G384" t="s">
        <v>360</v>
      </c>
      <c r="H384">
        <v>17</v>
      </c>
      <c r="I384">
        <v>45512</v>
      </c>
      <c r="J384">
        <v>3348000</v>
      </c>
      <c r="K384">
        <v>9</v>
      </c>
      <c r="L384">
        <v>2021</v>
      </c>
    </row>
    <row r="385" spans="1:12" x14ac:dyDescent="0.3">
      <c r="A385" t="s">
        <v>42</v>
      </c>
      <c r="B385">
        <v>33</v>
      </c>
      <c r="C385" t="s">
        <v>176</v>
      </c>
      <c r="D385" t="s">
        <v>177</v>
      </c>
      <c r="E385" t="s">
        <v>424</v>
      </c>
      <c r="F385" t="s">
        <v>425</v>
      </c>
      <c r="G385" t="s">
        <v>360</v>
      </c>
      <c r="H385">
        <v>1</v>
      </c>
      <c r="I385">
        <v>1030</v>
      </c>
      <c r="J385">
        <v>84681</v>
      </c>
      <c r="K385">
        <v>6</v>
      </c>
      <c r="L385">
        <v>2023</v>
      </c>
    </row>
    <row r="386" spans="1:12" x14ac:dyDescent="0.3">
      <c r="A386" t="s">
        <v>42</v>
      </c>
      <c r="B386">
        <v>33</v>
      </c>
      <c r="C386" t="s">
        <v>223</v>
      </c>
      <c r="D386" t="s">
        <v>44</v>
      </c>
      <c r="E386" t="s">
        <v>358</v>
      </c>
      <c r="F386" t="s">
        <v>359</v>
      </c>
      <c r="G386" t="s">
        <v>360</v>
      </c>
      <c r="H386">
        <v>54</v>
      </c>
      <c r="I386">
        <v>114621</v>
      </c>
      <c r="J386">
        <v>9488934</v>
      </c>
      <c r="K386">
        <v>8</v>
      </c>
      <c r="L386">
        <v>2023</v>
      </c>
    </row>
    <row r="387" spans="1:12" x14ac:dyDescent="0.3">
      <c r="A387" t="s">
        <v>12</v>
      </c>
      <c r="B387">
        <v>8</v>
      </c>
      <c r="C387" t="s">
        <v>426</v>
      </c>
      <c r="D387" t="s">
        <v>105</v>
      </c>
      <c r="E387" t="s">
        <v>361</v>
      </c>
      <c r="F387" t="s">
        <v>362</v>
      </c>
      <c r="G387" t="s">
        <v>360</v>
      </c>
      <c r="H387">
        <v>12</v>
      </c>
      <c r="I387">
        <v>7144</v>
      </c>
      <c r="J387">
        <v>531133</v>
      </c>
      <c r="K387">
        <v>3</v>
      </c>
      <c r="L387">
        <v>2020</v>
      </c>
    </row>
    <row r="388" spans="1:12" x14ac:dyDescent="0.3">
      <c r="A388" t="s">
        <v>58</v>
      </c>
      <c r="B388">
        <v>27</v>
      </c>
      <c r="C388" t="s">
        <v>59</v>
      </c>
      <c r="D388" t="s">
        <v>156</v>
      </c>
      <c r="E388" t="s">
        <v>385</v>
      </c>
      <c r="F388" t="s">
        <v>386</v>
      </c>
      <c r="G388" t="s">
        <v>360</v>
      </c>
      <c r="H388">
        <v>1</v>
      </c>
      <c r="I388">
        <v>1221</v>
      </c>
      <c r="J388">
        <v>90928</v>
      </c>
      <c r="K388">
        <v>4</v>
      </c>
      <c r="L388">
        <v>2021</v>
      </c>
    </row>
    <row r="389" spans="1:12" x14ac:dyDescent="0.3">
      <c r="A389" t="s">
        <v>73</v>
      </c>
      <c r="B389">
        <v>3</v>
      </c>
      <c r="C389" t="s">
        <v>181</v>
      </c>
      <c r="D389" t="s">
        <v>184</v>
      </c>
      <c r="E389" t="s">
        <v>370</v>
      </c>
      <c r="F389" t="s">
        <v>371</v>
      </c>
      <c r="G389" t="s">
        <v>360</v>
      </c>
      <c r="H389">
        <v>5</v>
      </c>
      <c r="I389">
        <v>44948</v>
      </c>
      <c r="J389">
        <v>3706562</v>
      </c>
      <c r="K389">
        <v>12</v>
      </c>
      <c r="L389">
        <v>2022</v>
      </c>
    </row>
    <row r="390" spans="1:12" x14ac:dyDescent="0.3">
      <c r="A390" t="s">
        <v>58</v>
      </c>
      <c r="B390">
        <v>27</v>
      </c>
      <c r="C390" t="s">
        <v>59</v>
      </c>
      <c r="D390" t="s">
        <v>277</v>
      </c>
      <c r="E390" t="s">
        <v>427</v>
      </c>
      <c r="F390" t="s">
        <v>428</v>
      </c>
      <c r="G390" t="s">
        <v>360</v>
      </c>
      <c r="H390">
        <v>240</v>
      </c>
      <c r="I390">
        <v>318584</v>
      </c>
      <c r="J390">
        <v>23436156</v>
      </c>
      <c r="K390">
        <v>9</v>
      </c>
      <c r="L390">
        <v>2021</v>
      </c>
    </row>
    <row r="391" spans="1:12" x14ac:dyDescent="0.3">
      <c r="A391" t="s">
        <v>42</v>
      </c>
      <c r="B391">
        <v>33</v>
      </c>
      <c r="C391" t="s">
        <v>170</v>
      </c>
      <c r="D391" t="s">
        <v>190</v>
      </c>
      <c r="E391" t="s">
        <v>103</v>
      </c>
      <c r="F391" t="s">
        <v>104</v>
      </c>
      <c r="G391" t="s">
        <v>393</v>
      </c>
      <c r="H391">
        <v>9114</v>
      </c>
      <c r="I391">
        <v>1967478</v>
      </c>
      <c r="J391">
        <v>144527225</v>
      </c>
      <c r="K391">
        <v>10</v>
      </c>
      <c r="L391">
        <v>2020</v>
      </c>
    </row>
    <row r="392" spans="1:12" x14ac:dyDescent="0.3">
      <c r="A392" t="s">
        <v>23</v>
      </c>
      <c r="B392">
        <v>24</v>
      </c>
      <c r="C392" t="s">
        <v>429</v>
      </c>
      <c r="D392" t="s">
        <v>76</v>
      </c>
      <c r="E392" t="s">
        <v>358</v>
      </c>
      <c r="F392" t="s">
        <v>359</v>
      </c>
      <c r="G392" t="s">
        <v>360</v>
      </c>
      <c r="H392">
        <v>9754</v>
      </c>
      <c r="I392">
        <v>3709091</v>
      </c>
      <c r="J392">
        <v>280629428</v>
      </c>
      <c r="K392">
        <v>5</v>
      </c>
      <c r="L392">
        <v>2020</v>
      </c>
    </row>
    <row r="393" spans="1:12" x14ac:dyDescent="0.3">
      <c r="A393" t="s">
        <v>23</v>
      </c>
      <c r="B393">
        <v>24</v>
      </c>
      <c r="C393" t="s">
        <v>430</v>
      </c>
      <c r="D393" t="s">
        <v>215</v>
      </c>
      <c r="E393" t="s">
        <v>398</v>
      </c>
      <c r="F393" t="s">
        <v>399</v>
      </c>
      <c r="G393" t="s">
        <v>360</v>
      </c>
      <c r="H393">
        <v>65096</v>
      </c>
      <c r="I393">
        <v>51157502</v>
      </c>
      <c r="J393">
        <v>4206870658</v>
      </c>
      <c r="K393">
        <v>6</v>
      </c>
      <c r="L393">
        <v>2023</v>
      </c>
    </row>
    <row r="394" spans="1:12" x14ac:dyDescent="0.3">
      <c r="A394" t="s">
        <v>23</v>
      </c>
      <c r="B394">
        <v>24</v>
      </c>
      <c r="C394" t="s">
        <v>431</v>
      </c>
      <c r="D394" t="s">
        <v>432</v>
      </c>
      <c r="E394" t="s">
        <v>433</v>
      </c>
      <c r="F394" t="s">
        <v>434</v>
      </c>
      <c r="G394" t="s">
        <v>360</v>
      </c>
      <c r="H394">
        <v>89418</v>
      </c>
      <c r="I394">
        <v>67177606</v>
      </c>
      <c r="J394">
        <v>4941470526</v>
      </c>
      <c r="K394">
        <v>6</v>
      </c>
      <c r="L394">
        <v>2021</v>
      </c>
    </row>
    <row r="395" spans="1:12" x14ac:dyDescent="0.3">
      <c r="A395" t="s">
        <v>23</v>
      </c>
      <c r="B395">
        <v>24</v>
      </c>
      <c r="C395" t="s">
        <v>24</v>
      </c>
      <c r="D395" t="s">
        <v>435</v>
      </c>
      <c r="E395" t="s">
        <v>366</v>
      </c>
      <c r="F395" t="s">
        <v>367</v>
      </c>
      <c r="G395" t="s">
        <v>360</v>
      </c>
      <c r="H395">
        <v>18</v>
      </c>
      <c r="I395">
        <v>52383</v>
      </c>
      <c r="J395">
        <v>3729268</v>
      </c>
      <c r="K395">
        <v>12</v>
      </c>
      <c r="L395">
        <v>2019</v>
      </c>
    </row>
    <row r="396" spans="1:12" x14ac:dyDescent="0.3">
      <c r="A396" t="s">
        <v>42</v>
      </c>
      <c r="B396">
        <v>33</v>
      </c>
      <c r="C396" t="s">
        <v>176</v>
      </c>
      <c r="D396" t="s">
        <v>251</v>
      </c>
      <c r="E396" t="s">
        <v>160</v>
      </c>
      <c r="F396" t="s">
        <v>161</v>
      </c>
      <c r="G396" t="s">
        <v>365</v>
      </c>
      <c r="H396">
        <v>6760</v>
      </c>
      <c r="I396">
        <v>23332</v>
      </c>
      <c r="J396">
        <v>1716238</v>
      </c>
      <c r="K396">
        <v>6</v>
      </c>
      <c r="L396">
        <v>2021</v>
      </c>
    </row>
    <row r="397" spans="1:12" x14ac:dyDescent="0.3">
      <c r="A397" t="s">
        <v>42</v>
      </c>
      <c r="B397">
        <v>33</v>
      </c>
      <c r="C397" t="s">
        <v>43</v>
      </c>
      <c r="D397" t="s">
        <v>44</v>
      </c>
      <c r="E397" t="s">
        <v>436</v>
      </c>
      <c r="F397" t="s">
        <v>437</v>
      </c>
      <c r="G397" t="s">
        <v>365</v>
      </c>
      <c r="H397">
        <v>24000</v>
      </c>
      <c r="I397">
        <v>23183</v>
      </c>
      <c r="J397">
        <v>1705292</v>
      </c>
      <c r="K397">
        <v>6</v>
      </c>
      <c r="L397">
        <v>2021</v>
      </c>
    </row>
    <row r="398" spans="1:12" x14ac:dyDescent="0.3">
      <c r="A398" t="s">
        <v>132</v>
      </c>
      <c r="B398">
        <v>19</v>
      </c>
      <c r="C398" t="s">
        <v>133</v>
      </c>
      <c r="D398" t="s">
        <v>224</v>
      </c>
      <c r="E398" t="s">
        <v>121</v>
      </c>
      <c r="F398" t="s">
        <v>122</v>
      </c>
      <c r="G398" t="s">
        <v>365</v>
      </c>
      <c r="H398">
        <v>106</v>
      </c>
      <c r="I398">
        <v>20961</v>
      </c>
      <c r="J398">
        <v>1572163</v>
      </c>
      <c r="K398">
        <v>2</v>
      </c>
      <c r="L398">
        <v>2022</v>
      </c>
    </row>
    <row r="399" spans="1:12" x14ac:dyDescent="0.3">
      <c r="A399" t="s">
        <v>137</v>
      </c>
      <c r="B399">
        <v>36</v>
      </c>
      <c r="C399" t="s">
        <v>148</v>
      </c>
      <c r="D399" t="s">
        <v>134</v>
      </c>
      <c r="E399" t="s">
        <v>438</v>
      </c>
      <c r="F399" t="s">
        <v>439</v>
      </c>
      <c r="G399" t="s">
        <v>365</v>
      </c>
      <c r="H399">
        <v>3150</v>
      </c>
      <c r="I399">
        <v>1897114</v>
      </c>
      <c r="J399">
        <v>156006743</v>
      </c>
      <c r="K399">
        <v>6</v>
      </c>
      <c r="L399">
        <v>2023</v>
      </c>
    </row>
    <row r="400" spans="1:12" x14ac:dyDescent="0.3">
      <c r="A400" t="s">
        <v>23</v>
      </c>
      <c r="B400">
        <v>24</v>
      </c>
      <c r="C400" t="s">
        <v>235</v>
      </c>
      <c r="D400" t="s">
        <v>118</v>
      </c>
      <c r="E400" t="s">
        <v>440</v>
      </c>
      <c r="F400" t="s">
        <v>441</v>
      </c>
      <c r="G400" t="s">
        <v>365</v>
      </c>
      <c r="H400">
        <v>38000</v>
      </c>
      <c r="I400">
        <v>72479</v>
      </c>
      <c r="J400">
        <v>5976937</v>
      </c>
      <c r="K400">
        <v>12</v>
      </c>
      <c r="L400">
        <v>2022</v>
      </c>
    </row>
    <row r="401" spans="1:12" x14ac:dyDescent="0.3">
      <c r="A401" t="s">
        <v>33</v>
      </c>
      <c r="B401">
        <v>32</v>
      </c>
      <c r="C401" t="s">
        <v>214</v>
      </c>
      <c r="D401" t="s">
        <v>313</v>
      </c>
      <c r="E401" t="s">
        <v>442</v>
      </c>
      <c r="F401" t="s">
        <v>443</v>
      </c>
      <c r="G401" t="s">
        <v>365</v>
      </c>
      <c r="H401">
        <v>46911</v>
      </c>
      <c r="I401">
        <v>181941</v>
      </c>
      <c r="J401">
        <v>12974918</v>
      </c>
      <c r="K401">
        <v>1</v>
      </c>
      <c r="L401">
        <v>2020</v>
      </c>
    </row>
    <row r="402" spans="1:12" x14ac:dyDescent="0.3">
      <c r="A402" t="s">
        <v>58</v>
      </c>
      <c r="B402">
        <v>27</v>
      </c>
      <c r="C402" t="s">
        <v>59</v>
      </c>
      <c r="D402" t="s">
        <v>354</v>
      </c>
      <c r="E402" t="s">
        <v>375</v>
      </c>
      <c r="F402" t="s">
        <v>376</v>
      </c>
      <c r="G402" t="s">
        <v>365</v>
      </c>
      <c r="H402">
        <v>825</v>
      </c>
      <c r="I402">
        <v>4244</v>
      </c>
      <c r="J402">
        <v>323261</v>
      </c>
      <c r="K402">
        <v>4</v>
      </c>
      <c r="L402">
        <v>2022</v>
      </c>
    </row>
    <row r="403" spans="1:12" x14ac:dyDescent="0.3">
      <c r="A403" t="s">
        <v>28</v>
      </c>
      <c r="B403">
        <v>29</v>
      </c>
      <c r="C403" t="s">
        <v>236</v>
      </c>
      <c r="D403" t="s">
        <v>142</v>
      </c>
      <c r="E403" t="s">
        <v>444</v>
      </c>
      <c r="F403" t="s">
        <v>445</v>
      </c>
      <c r="G403" t="s">
        <v>365</v>
      </c>
      <c r="H403">
        <v>2306</v>
      </c>
      <c r="I403">
        <v>26743</v>
      </c>
      <c r="J403">
        <v>1701869</v>
      </c>
      <c r="K403">
        <v>1</v>
      </c>
      <c r="L403">
        <v>2018</v>
      </c>
    </row>
    <row r="404" spans="1:12" x14ac:dyDescent="0.3">
      <c r="A404" t="s">
        <v>79</v>
      </c>
      <c r="B404">
        <v>9</v>
      </c>
      <c r="C404" t="s">
        <v>446</v>
      </c>
      <c r="D404" t="s">
        <v>294</v>
      </c>
      <c r="E404" t="s">
        <v>447</v>
      </c>
      <c r="F404" t="s">
        <v>448</v>
      </c>
      <c r="G404" t="s">
        <v>365</v>
      </c>
      <c r="H404">
        <v>100772</v>
      </c>
      <c r="I404">
        <v>85911</v>
      </c>
      <c r="J404">
        <v>6253704</v>
      </c>
      <c r="K404">
        <v>3</v>
      </c>
      <c r="L404">
        <v>2021</v>
      </c>
    </row>
    <row r="405" spans="1:12" x14ac:dyDescent="0.3">
      <c r="A405" t="s">
        <v>42</v>
      </c>
      <c r="B405">
        <v>33</v>
      </c>
      <c r="C405" t="s">
        <v>111</v>
      </c>
      <c r="D405" t="s">
        <v>35</v>
      </c>
      <c r="E405" t="s">
        <v>444</v>
      </c>
      <c r="F405" t="s">
        <v>445</v>
      </c>
      <c r="G405" t="s">
        <v>365</v>
      </c>
      <c r="H405">
        <v>5958</v>
      </c>
      <c r="I405">
        <v>167613</v>
      </c>
      <c r="J405">
        <v>11320514</v>
      </c>
      <c r="K405">
        <v>5</v>
      </c>
      <c r="L405">
        <v>2018</v>
      </c>
    </row>
    <row r="406" spans="1:12" x14ac:dyDescent="0.3">
      <c r="A406" t="s">
        <v>28</v>
      </c>
      <c r="B406">
        <v>29</v>
      </c>
      <c r="C406" t="s">
        <v>312</v>
      </c>
      <c r="D406" t="s">
        <v>242</v>
      </c>
      <c r="E406" t="s">
        <v>449</v>
      </c>
      <c r="F406" t="s">
        <v>450</v>
      </c>
      <c r="G406" t="s">
        <v>365</v>
      </c>
      <c r="H406">
        <v>182400</v>
      </c>
      <c r="I406">
        <v>102459</v>
      </c>
      <c r="J406">
        <v>7399072</v>
      </c>
      <c r="K406">
        <v>9</v>
      </c>
      <c r="L406">
        <v>2018</v>
      </c>
    </row>
    <row r="407" spans="1:12" x14ac:dyDescent="0.3">
      <c r="A407" t="s">
        <v>28</v>
      </c>
      <c r="B407">
        <v>29</v>
      </c>
      <c r="C407" t="s">
        <v>29</v>
      </c>
      <c r="D407" t="s">
        <v>153</v>
      </c>
      <c r="E407" t="s">
        <v>451</v>
      </c>
      <c r="F407" t="s">
        <v>452</v>
      </c>
      <c r="G407" t="s">
        <v>365</v>
      </c>
      <c r="H407">
        <v>122</v>
      </c>
      <c r="I407">
        <v>1007</v>
      </c>
      <c r="J407">
        <v>71638</v>
      </c>
      <c r="K407">
        <v>8</v>
      </c>
      <c r="L407">
        <v>2019</v>
      </c>
    </row>
    <row r="408" spans="1:12" x14ac:dyDescent="0.3">
      <c r="A408" t="s">
        <v>33</v>
      </c>
      <c r="B408">
        <v>32</v>
      </c>
      <c r="C408" t="s">
        <v>214</v>
      </c>
      <c r="D408" t="s">
        <v>118</v>
      </c>
      <c r="E408" t="s">
        <v>453</v>
      </c>
      <c r="F408" t="s">
        <v>454</v>
      </c>
      <c r="G408" t="s">
        <v>365</v>
      </c>
      <c r="H408">
        <v>100</v>
      </c>
      <c r="I408">
        <v>9802</v>
      </c>
      <c r="J408">
        <v>693271</v>
      </c>
      <c r="K408">
        <v>12</v>
      </c>
      <c r="L408">
        <v>2018</v>
      </c>
    </row>
    <row r="409" spans="1:12" x14ac:dyDescent="0.3">
      <c r="A409" t="s">
        <v>132</v>
      </c>
      <c r="B409">
        <v>19</v>
      </c>
      <c r="C409" t="s">
        <v>133</v>
      </c>
      <c r="D409" t="s">
        <v>224</v>
      </c>
      <c r="E409" t="s">
        <v>455</v>
      </c>
      <c r="F409" t="s">
        <v>456</v>
      </c>
      <c r="G409" t="s">
        <v>365</v>
      </c>
      <c r="H409">
        <v>31</v>
      </c>
      <c r="I409">
        <v>135</v>
      </c>
      <c r="J409">
        <v>9174</v>
      </c>
      <c r="K409">
        <v>6</v>
      </c>
      <c r="L409">
        <v>2018</v>
      </c>
    </row>
    <row r="410" spans="1:12" x14ac:dyDescent="0.3">
      <c r="A410" t="s">
        <v>12</v>
      </c>
      <c r="B410">
        <v>8</v>
      </c>
      <c r="C410" t="s">
        <v>13</v>
      </c>
      <c r="D410" t="s">
        <v>118</v>
      </c>
      <c r="E410" t="s">
        <v>457</v>
      </c>
      <c r="F410" t="s">
        <v>458</v>
      </c>
      <c r="G410" t="s">
        <v>365</v>
      </c>
      <c r="H410">
        <v>3821</v>
      </c>
      <c r="I410">
        <v>10379</v>
      </c>
      <c r="J410">
        <v>854634</v>
      </c>
      <c r="K410">
        <v>10</v>
      </c>
      <c r="L410">
        <v>2022</v>
      </c>
    </row>
    <row r="411" spans="1:12" x14ac:dyDescent="0.3">
      <c r="A411" t="s">
        <v>23</v>
      </c>
      <c r="B411">
        <v>24</v>
      </c>
      <c r="C411" t="s">
        <v>235</v>
      </c>
      <c r="D411" t="s">
        <v>243</v>
      </c>
      <c r="E411" t="s">
        <v>160</v>
      </c>
      <c r="F411" t="s">
        <v>161</v>
      </c>
      <c r="G411" t="s">
        <v>365</v>
      </c>
      <c r="H411">
        <v>102640</v>
      </c>
      <c r="I411">
        <v>126615</v>
      </c>
      <c r="J411">
        <v>10385069</v>
      </c>
      <c r="K411">
        <v>4</v>
      </c>
      <c r="L411">
        <v>2023</v>
      </c>
    </row>
    <row r="412" spans="1:12" x14ac:dyDescent="0.3">
      <c r="A412" t="s">
        <v>42</v>
      </c>
      <c r="B412">
        <v>33</v>
      </c>
      <c r="C412" t="s">
        <v>43</v>
      </c>
      <c r="D412" t="s">
        <v>130</v>
      </c>
      <c r="E412" t="s">
        <v>457</v>
      </c>
      <c r="F412" t="s">
        <v>458</v>
      </c>
      <c r="G412" t="s">
        <v>365</v>
      </c>
      <c r="H412">
        <v>26500</v>
      </c>
      <c r="I412">
        <v>28317</v>
      </c>
      <c r="J412">
        <v>2254057</v>
      </c>
      <c r="K412">
        <v>7</v>
      </c>
      <c r="L412">
        <v>2022</v>
      </c>
    </row>
    <row r="413" spans="1:12" x14ac:dyDescent="0.3">
      <c r="A413" t="s">
        <v>47</v>
      </c>
      <c r="B413">
        <v>7</v>
      </c>
      <c r="C413" t="s">
        <v>48</v>
      </c>
      <c r="D413" t="s">
        <v>459</v>
      </c>
      <c r="E413" t="s">
        <v>460</v>
      </c>
      <c r="F413" t="s">
        <v>461</v>
      </c>
      <c r="G413" t="s">
        <v>365</v>
      </c>
      <c r="H413">
        <v>2710</v>
      </c>
      <c r="I413">
        <v>308420</v>
      </c>
      <c r="J413">
        <v>21815441</v>
      </c>
      <c r="K413">
        <v>1</v>
      </c>
      <c r="L413">
        <v>2019</v>
      </c>
    </row>
    <row r="414" spans="1:12" x14ac:dyDescent="0.3">
      <c r="A414" t="s">
        <v>42</v>
      </c>
      <c r="B414">
        <v>33</v>
      </c>
      <c r="C414" t="s">
        <v>43</v>
      </c>
      <c r="D414" t="s">
        <v>263</v>
      </c>
      <c r="E414" t="s">
        <v>462</v>
      </c>
      <c r="F414" t="s">
        <v>463</v>
      </c>
      <c r="G414" t="s">
        <v>365</v>
      </c>
      <c r="H414">
        <v>3590</v>
      </c>
      <c r="I414">
        <v>28904</v>
      </c>
      <c r="J414">
        <v>2113160</v>
      </c>
      <c r="K414">
        <v>1</v>
      </c>
      <c r="L414">
        <v>2021</v>
      </c>
    </row>
    <row r="415" spans="1:12" x14ac:dyDescent="0.3">
      <c r="A415" t="s">
        <v>42</v>
      </c>
      <c r="B415">
        <v>33</v>
      </c>
      <c r="C415" t="s">
        <v>238</v>
      </c>
      <c r="D415" t="s">
        <v>194</v>
      </c>
      <c r="E415" t="s">
        <v>160</v>
      </c>
      <c r="F415" t="s">
        <v>161</v>
      </c>
      <c r="G415" t="s">
        <v>365</v>
      </c>
      <c r="H415">
        <v>2450</v>
      </c>
      <c r="I415">
        <v>2759</v>
      </c>
      <c r="J415">
        <v>226269</v>
      </c>
      <c r="K415">
        <v>4</v>
      </c>
      <c r="L415">
        <v>2023</v>
      </c>
    </row>
    <row r="416" spans="1:12" x14ac:dyDescent="0.3">
      <c r="A416" t="s">
        <v>33</v>
      </c>
      <c r="B416">
        <v>32</v>
      </c>
      <c r="C416" t="s">
        <v>214</v>
      </c>
      <c r="D416" t="s">
        <v>464</v>
      </c>
      <c r="E416" t="s">
        <v>465</v>
      </c>
      <c r="F416" t="s">
        <v>466</v>
      </c>
      <c r="G416" t="s">
        <v>365</v>
      </c>
      <c r="H416">
        <v>60</v>
      </c>
      <c r="I416">
        <v>178</v>
      </c>
      <c r="J416">
        <v>14616</v>
      </c>
      <c r="K416">
        <v>7</v>
      </c>
      <c r="L416">
        <v>2023</v>
      </c>
    </row>
    <row r="417" spans="1:12" x14ac:dyDescent="0.3">
      <c r="A417" t="s">
        <v>23</v>
      </c>
      <c r="B417">
        <v>24</v>
      </c>
      <c r="C417" t="s">
        <v>24</v>
      </c>
      <c r="D417" t="s">
        <v>208</v>
      </c>
      <c r="E417" t="s">
        <v>457</v>
      </c>
      <c r="F417" t="s">
        <v>458</v>
      </c>
      <c r="G417" t="s">
        <v>365</v>
      </c>
      <c r="H417">
        <v>52650</v>
      </c>
      <c r="I417">
        <v>8089</v>
      </c>
      <c r="J417">
        <v>577997</v>
      </c>
      <c r="K417">
        <v>11</v>
      </c>
      <c r="L417">
        <v>2019</v>
      </c>
    </row>
    <row r="418" spans="1:12" x14ac:dyDescent="0.3">
      <c r="A418" t="s">
        <v>23</v>
      </c>
      <c r="B418">
        <v>24</v>
      </c>
      <c r="C418" t="s">
        <v>24</v>
      </c>
      <c r="D418" t="s">
        <v>105</v>
      </c>
      <c r="E418" t="s">
        <v>465</v>
      </c>
      <c r="F418" t="s">
        <v>466</v>
      </c>
      <c r="G418" t="s">
        <v>365</v>
      </c>
      <c r="H418">
        <v>239425</v>
      </c>
      <c r="I418">
        <v>492401</v>
      </c>
      <c r="J418">
        <v>40545964</v>
      </c>
      <c r="K418">
        <v>5</v>
      </c>
      <c r="L418">
        <v>2023</v>
      </c>
    </row>
    <row r="419" spans="1:12" x14ac:dyDescent="0.3">
      <c r="A419" t="s">
        <v>28</v>
      </c>
      <c r="B419">
        <v>29</v>
      </c>
      <c r="C419" t="s">
        <v>29</v>
      </c>
      <c r="D419" t="s">
        <v>263</v>
      </c>
      <c r="E419" t="s">
        <v>467</v>
      </c>
      <c r="F419" t="s">
        <v>468</v>
      </c>
      <c r="G419" t="s">
        <v>365</v>
      </c>
      <c r="H419">
        <v>1763</v>
      </c>
      <c r="I419">
        <v>103756</v>
      </c>
      <c r="J419">
        <v>7381788</v>
      </c>
      <c r="K419">
        <v>8</v>
      </c>
      <c r="L419">
        <v>2019</v>
      </c>
    </row>
    <row r="420" spans="1:12" x14ac:dyDescent="0.3">
      <c r="A420" t="s">
        <v>42</v>
      </c>
      <c r="B420">
        <v>33</v>
      </c>
      <c r="C420" t="s">
        <v>111</v>
      </c>
      <c r="D420" t="s">
        <v>217</v>
      </c>
      <c r="E420" t="s">
        <v>462</v>
      </c>
      <c r="F420" t="s">
        <v>463</v>
      </c>
      <c r="G420" t="s">
        <v>365</v>
      </c>
      <c r="H420">
        <v>883</v>
      </c>
      <c r="I420">
        <v>28274</v>
      </c>
      <c r="J420">
        <v>2107172</v>
      </c>
      <c r="K420">
        <v>7</v>
      </c>
      <c r="L420">
        <v>2021</v>
      </c>
    </row>
    <row r="421" spans="1:12" x14ac:dyDescent="0.3">
      <c r="A421" t="s">
        <v>42</v>
      </c>
      <c r="B421">
        <v>33</v>
      </c>
      <c r="C421" t="s">
        <v>111</v>
      </c>
      <c r="D421" t="s">
        <v>81</v>
      </c>
      <c r="E421" t="s">
        <v>460</v>
      </c>
      <c r="F421" t="s">
        <v>461</v>
      </c>
      <c r="G421" t="s">
        <v>365</v>
      </c>
      <c r="H421">
        <v>13</v>
      </c>
      <c r="I421">
        <v>19398</v>
      </c>
      <c r="J421">
        <v>1448477</v>
      </c>
      <c r="K421">
        <v>8</v>
      </c>
      <c r="L421">
        <v>2020</v>
      </c>
    </row>
    <row r="422" spans="1:12" x14ac:dyDescent="0.3">
      <c r="A422" t="s">
        <v>275</v>
      </c>
      <c r="B422">
        <v>28</v>
      </c>
      <c r="C422" t="s">
        <v>469</v>
      </c>
      <c r="D422" t="s">
        <v>180</v>
      </c>
      <c r="E422" t="s">
        <v>436</v>
      </c>
      <c r="F422" t="s">
        <v>437</v>
      </c>
      <c r="G422" t="s">
        <v>365</v>
      </c>
      <c r="H422">
        <v>294000</v>
      </c>
      <c r="I422">
        <v>288500</v>
      </c>
      <c r="J422">
        <v>21638400</v>
      </c>
      <c r="K422">
        <v>2</v>
      </c>
      <c r="L422">
        <v>2022</v>
      </c>
    </row>
    <row r="423" spans="1:12" x14ac:dyDescent="0.3">
      <c r="A423" t="s">
        <v>28</v>
      </c>
      <c r="B423">
        <v>29</v>
      </c>
      <c r="C423" t="s">
        <v>29</v>
      </c>
      <c r="D423" t="s">
        <v>215</v>
      </c>
      <c r="E423" t="s">
        <v>470</v>
      </c>
      <c r="F423" t="s">
        <v>471</v>
      </c>
      <c r="G423" t="s">
        <v>365</v>
      </c>
      <c r="H423">
        <v>20</v>
      </c>
      <c r="I423">
        <v>159</v>
      </c>
      <c r="J423">
        <v>10145</v>
      </c>
      <c r="K423">
        <v>1</v>
      </c>
      <c r="L423">
        <v>2018</v>
      </c>
    </row>
    <row r="424" spans="1:12" x14ac:dyDescent="0.3">
      <c r="A424" t="s">
        <v>42</v>
      </c>
      <c r="B424">
        <v>33</v>
      </c>
      <c r="C424" t="s">
        <v>111</v>
      </c>
      <c r="D424" t="s">
        <v>265</v>
      </c>
      <c r="E424" t="s">
        <v>472</v>
      </c>
      <c r="F424" t="s">
        <v>473</v>
      </c>
      <c r="G424" t="s">
        <v>365</v>
      </c>
      <c r="H424">
        <v>9394</v>
      </c>
      <c r="I424">
        <v>536575</v>
      </c>
      <c r="J424">
        <v>38265204</v>
      </c>
      <c r="K424">
        <v>1</v>
      </c>
      <c r="L424">
        <v>2020</v>
      </c>
    </row>
    <row r="425" spans="1:12" x14ac:dyDescent="0.3">
      <c r="A425" t="s">
        <v>58</v>
      </c>
      <c r="B425">
        <v>27</v>
      </c>
      <c r="C425" t="s">
        <v>125</v>
      </c>
      <c r="D425" t="s">
        <v>294</v>
      </c>
      <c r="E425" t="s">
        <v>451</v>
      </c>
      <c r="F425" t="s">
        <v>452</v>
      </c>
      <c r="G425" t="s">
        <v>365</v>
      </c>
      <c r="H425">
        <v>130</v>
      </c>
      <c r="I425">
        <v>370</v>
      </c>
      <c r="J425">
        <v>30408</v>
      </c>
      <c r="K425">
        <v>7</v>
      </c>
      <c r="L425">
        <v>2023</v>
      </c>
    </row>
    <row r="426" spans="1:12" x14ac:dyDescent="0.3">
      <c r="A426" t="s">
        <v>58</v>
      </c>
      <c r="B426">
        <v>27</v>
      </c>
      <c r="C426" t="s">
        <v>59</v>
      </c>
      <c r="D426" t="s">
        <v>334</v>
      </c>
      <c r="E426" t="s">
        <v>447</v>
      </c>
      <c r="F426" t="s">
        <v>448</v>
      </c>
      <c r="G426" t="s">
        <v>365</v>
      </c>
      <c r="H426">
        <v>49990</v>
      </c>
      <c r="I426">
        <v>47216</v>
      </c>
      <c r="J426">
        <v>3373698</v>
      </c>
      <c r="K426">
        <v>11</v>
      </c>
      <c r="L426">
        <v>2019</v>
      </c>
    </row>
    <row r="427" spans="1:12" x14ac:dyDescent="0.3">
      <c r="A427" t="s">
        <v>47</v>
      </c>
      <c r="B427">
        <v>7</v>
      </c>
      <c r="C427" t="s">
        <v>51</v>
      </c>
      <c r="D427" t="s">
        <v>163</v>
      </c>
      <c r="E427" t="s">
        <v>453</v>
      </c>
      <c r="F427" t="s">
        <v>454</v>
      </c>
      <c r="G427" t="s">
        <v>365</v>
      </c>
      <c r="H427">
        <v>100</v>
      </c>
      <c r="I427">
        <v>1631</v>
      </c>
      <c r="J427">
        <v>124322</v>
      </c>
      <c r="K427">
        <v>3</v>
      </c>
      <c r="L427">
        <v>2022</v>
      </c>
    </row>
    <row r="428" spans="1:12" x14ac:dyDescent="0.3">
      <c r="A428" t="s">
        <v>42</v>
      </c>
      <c r="B428">
        <v>33</v>
      </c>
      <c r="C428" t="s">
        <v>43</v>
      </c>
      <c r="D428" t="s">
        <v>180</v>
      </c>
      <c r="E428" t="s">
        <v>474</v>
      </c>
      <c r="F428" t="s">
        <v>475</v>
      </c>
      <c r="G428" t="s">
        <v>365</v>
      </c>
      <c r="H428">
        <v>7920</v>
      </c>
      <c r="I428">
        <v>79461</v>
      </c>
      <c r="J428">
        <v>6500728</v>
      </c>
      <c r="K428">
        <v>11</v>
      </c>
      <c r="L428">
        <v>2022</v>
      </c>
    </row>
    <row r="429" spans="1:12" x14ac:dyDescent="0.3">
      <c r="A429" t="s">
        <v>132</v>
      </c>
      <c r="B429">
        <v>19</v>
      </c>
      <c r="C429" t="s">
        <v>133</v>
      </c>
      <c r="D429" t="s">
        <v>321</v>
      </c>
      <c r="E429" t="s">
        <v>476</v>
      </c>
      <c r="F429" t="s">
        <v>477</v>
      </c>
      <c r="G429" t="s">
        <v>365</v>
      </c>
      <c r="H429">
        <v>214</v>
      </c>
      <c r="I429">
        <v>3470</v>
      </c>
      <c r="J429">
        <v>234390</v>
      </c>
      <c r="K429">
        <v>5</v>
      </c>
      <c r="L429">
        <v>2018</v>
      </c>
    </row>
    <row r="430" spans="1:12" x14ac:dyDescent="0.3">
      <c r="A430" t="s">
        <v>42</v>
      </c>
      <c r="B430">
        <v>33</v>
      </c>
      <c r="C430" t="s">
        <v>43</v>
      </c>
      <c r="D430" t="s">
        <v>142</v>
      </c>
      <c r="E430" t="s">
        <v>478</v>
      </c>
      <c r="F430" t="s">
        <v>479</v>
      </c>
      <c r="G430" t="s">
        <v>365</v>
      </c>
      <c r="H430">
        <v>96000</v>
      </c>
      <c r="I430">
        <v>11234</v>
      </c>
      <c r="J430">
        <v>783821</v>
      </c>
      <c r="K430">
        <v>5</v>
      </c>
      <c r="L430">
        <v>2019</v>
      </c>
    </row>
    <row r="431" spans="1:12" x14ac:dyDescent="0.3">
      <c r="A431" t="s">
        <v>28</v>
      </c>
      <c r="B431">
        <v>29</v>
      </c>
      <c r="C431" t="s">
        <v>236</v>
      </c>
      <c r="D431" t="s">
        <v>60</v>
      </c>
      <c r="E431" t="s">
        <v>438</v>
      </c>
      <c r="F431" t="s">
        <v>439</v>
      </c>
      <c r="G431" t="s">
        <v>365</v>
      </c>
      <c r="H431">
        <v>4000</v>
      </c>
      <c r="I431">
        <v>110420</v>
      </c>
      <c r="J431">
        <v>8037748</v>
      </c>
      <c r="K431">
        <v>3</v>
      </c>
      <c r="L431">
        <v>2021</v>
      </c>
    </row>
    <row r="432" spans="1:12" x14ac:dyDescent="0.3">
      <c r="A432" t="s">
        <v>73</v>
      </c>
      <c r="B432">
        <v>3</v>
      </c>
      <c r="C432" t="s">
        <v>221</v>
      </c>
      <c r="D432" t="s">
        <v>68</v>
      </c>
      <c r="E432" t="s">
        <v>460</v>
      </c>
      <c r="F432" t="s">
        <v>461</v>
      </c>
      <c r="G432" t="s">
        <v>365</v>
      </c>
      <c r="H432">
        <v>18000</v>
      </c>
      <c r="I432">
        <v>221757</v>
      </c>
      <c r="J432">
        <v>16312062</v>
      </c>
      <c r="K432">
        <v>6</v>
      </c>
      <c r="L432">
        <v>2021</v>
      </c>
    </row>
    <row r="433" spans="1:12" x14ac:dyDescent="0.3">
      <c r="A433" t="s">
        <v>58</v>
      </c>
      <c r="B433">
        <v>27</v>
      </c>
      <c r="C433" t="s">
        <v>125</v>
      </c>
      <c r="D433" t="s">
        <v>215</v>
      </c>
      <c r="E433" t="s">
        <v>438</v>
      </c>
      <c r="F433" t="s">
        <v>439</v>
      </c>
      <c r="G433" t="s">
        <v>365</v>
      </c>
      <c r="H433">
        <v>30227</v>
      </c>
      <c r="I433">
        <v>2203356</v>
      </c>
      <c r="J433">
        <v>156862632</v>
      </c>
      <c r="K433">
        <v>12</v>
      </c>
      <c r="L433">
        <v>2019</v>
      </c>
    </row>
    <row r="434" spans="1:12" x14ac:dyDescent="0.3">
      <c r="A434" t="s">
        <v>23</v>
      </c>
      <c r="B434">
        <v>24</v>
      </c>
      <c r="C434" t="s">
        <v>218</v>
      </c>
      <c r="D434" t="s">
        <v>220</v>
      </c>
      <c r="E434" t="s">
        <v>460</v>
      </c>
      <c r="F434" t="s">
        <v>461</v>
      </c>
      <c r="G434" t="s">
        <v>365</v>
      </c>
      <c r="H434">
        <v>959</v>
      </c>
      <c r="I434">
        <v>491592</v>
      </c>
      <c r="J434">
        <v>40452452</v>
      </c>
      <c r="K434">
        <v>3</v>
      </c>
      <c r="L434">
        <v>2023</v>
      </c>
    </row>
    <row r="435" spans="1:12" x14ac:dyDescent="0.3">
      <c r="A435" t="s">
        <v>47</v>
      </c>
      <c r="B435">
        <v>7</v>
      </c>
      <c r="C435" t="s">
        <v>51</v>
      </c>
      <c r="D435" t="s">
        <v>145</v>
      </c>
      <c r="E435" t="s">
        <v>480</v>
      </c>
      <c r="F435" t="s">
        <v>481</v>
      </c>
      <c r="G435" t="s">
        <v>365</v>
      </c>
      <c r="H435">
        <v>3916</v>
      </c>
      <c r="I435">
        <v>6887</v>
      </c>
      <c r="J435">
        <v>507109</v>
      </c>
      <c r="K435">
        <v>10</v>
      </c>
      <c r="L435">
        <v>2018</v>
      </c>
    </row>
    <row r="436" spans="1:12" x14ac:dyDescent="0.3">
      <c r="A436" t="s">
        <v>23</v>
      </c>
      <c r="B436">
        <v>24</v>
      </c>
      <c r="C436" t="s">
        <v>24</v>
      </c>
      <c r="D436" t="s">
        <v>164</v>
      </c>
      <c r="E436" t="s">
        <v>462</v>
      </c>
      <c r="F436" t="s">
        <v>463</v>
      </c>
      <c r="G436" t="s">
        <v>365</v>
      </c>
      <c r="H436">
        <v>8404</v>
      </c>
      <c r="I436">
        <v>44751</v>
      </c>
      <c r="J436">
        <v>2847791</v>
      </c>
      <c r="K436">
        <v>1</v>
      </c>
      <c r="L436">
        <v>2018</v>
      </c>
    </row>
    <row r="437" spans="1:12" x14ac:dyDescent="0.3">
      <c r="A437" t="s">
        <v>63</v>
      </c>
      <c r="B437">
        <v>23</v>
      </c>
      <c r="C437" t="s">
        <v>64</v>
      </c>
      <c r="D437" t="s">
        <v>482</v>
      </c>
      <c r="E437" t="s">
        <v>438</v>
      </c>
      <c r="F437" t="s">
        <v>439</v>
      </c>
      <c r="G437" t="s">
        <v>365</v>
      </c>
      <c r="H437">
        <v>1350</v>
      </c>
      <c r="I437">
        <v>29552</v>
      </c>
      <c r="J437">
        <v>2431766</v>
      </c>
      <c r="K437">
        <v>3</v>
      </c>
      <c r="L437">
        <v>2023</v>
      </c>
    </row>
    <row r="438" spans="1:12" x14ac:dyDescent="0.3">
      <c r="A438" t="s">
        <v>58</v>
      </c>
      <c r="B438">
        <v>27</v>
      </c>
      <c r="C438" t="s">
        <v>125</v>
      </c>
      <c r="D438" t="s">
        <v>261</v>
      </c>
      <c r="E438" t="s">
        <v>160</v>
      </c>
      <c r="F438" t="s">
        <v>161</v>
      </c>
      <c r="G438" t="s">
        <v>365</v>
      </c>
      <c r="H438">
        <v>34758</v>
      </c>
      <c r="I438">
        <v>387152</v>
      </c>
      <c r="J438">
        <v>29518200</v>
      </c>
      <c r="K438">
        <v>3</v>
      </c>
      <c r="L438">
        <v>2022</v>
      </c>
    </row>
    <row r="439" spans="1:12" x14ac:dyDescent="0.3">
      <c r="A439" t="s">
        <v>42</v>
      </c>
      <c r="B439">
        <v>33</v>
      </c>
      <c r="C439" t="s">
        <v>111</v>
      </c>
      <c r="D439" t="s">
        <v>251</v>
      </c>
      <c r="E439" t="s">
        <v>467</v>
      </c>
      <c r="F439" t="s">
        <v>468</v>
      </c>
      <c r="G439" t="s">
        <v>365</v>
      </c>
      <c r="H439">
        <v>27</v>
      </c>
      <c r="I439">
        <v>2405</v>
      </c>
      <c r="J439">
        <v>156406</v>
      </c>
      <c r="K439">
        <v>3</v>
      </c>
      <c r="L439">
        <v>2018</v>
      </c>
    </row>
    <row r="440" spans="1:12" x14ac:dyDescent="0.3">
      <c r="A440" t="s">
        <v>58</v>
      </c>
      <c r="B440">
        <v>27</v>
      </c>
      <c r="C440" t="s">
        <v>59</v>
      </c>
      <c r="D440" t="s">
        <v>44</v>
      </c>
      <c r="E440" t="s">
        <v>480</v>
      </c>
      <c r="F440" t="s">
        <v>481</v>
      </c>
      <c r="G440" t="s">
        <v>365</v>
      </c>
      <c r="H440">
        <v>445510</v>
      </c>
      <c r="I440">
        <v>630548</v>
      </c>
      <c r="J440">
        <v>43852437</v>
      </c>
      <c r="K440">
        <v>8</v>
      </c>
      <c r="L440">
        <v>2018</v>
      </c>
    </row>
    <row r="441" spans="1:12" x14ac:dyDescent="0.3">
      <c r="A441" t="s">
        <v>28</v>
      </c>
      <c r="B441">
        <v>29</v>
      </c>
      <c r="C441" t="s">
        <v>29</v>
      </c>
      <c r="D441" t="s">
        <v>190</v>
      </c>
      <c r="E441" t="s">
        <v>444</v>
      </c>
      <c r="F441" t="s">
        <v>445</v>
      </c>
      <c r="G441" t="s">
        <v>365</v>
      </c>
      <c r="H441">
        <v>34</v>
      </c>
      <c r="I441">
        <v>156</v>
      </c>
      <c r="J441">
        <v>11473</v>
      </c>
      <c r="K441">
        <v>6</v>
      </c>
      <c r="L441">
        <v>2021</v>
      </c>
    </row>
    <row r="442" spans="1:12" x14ac:dyDescent="0.3">
      <c r="A442" t="s">
        <v>47</v>
      </c>
      <c r="B442">
        <v>7</v>
      </c>
      <c r="C442" t="s">
        <v>51</v>
      </c>
      <c r="D442" t="s">
        <v>194</v>
      </c>
      <c r="E442" t="s">
        <v>375</v>
      </c>
      <c r="F442" t="s">
        <v>376</v>
      </c>
      <c r="G442" t="s">
        <v>365</v>
      </c>
      <c r="H442">
        <v>1250</v>
      </c>
      <c r="I442">
        <v>14878</v>
      </c>
      <c r="J442">
        <v>1083000</v>
      </c>
      <c r="K442">
        <v>3</v>
      </c>
      <c r="L442">
        <v>2021</v>
      </c>
    </row>
    <row r="443" spans="1:12" x14ac:dyDescent="0.3">
      <c r="A443" t="s">
        <v>58</v>
      </c>
      <c r="B443">
        <v>27</v>
      </c>
      <c r="C443" t="s">
        <v>59</v>
      </c>
      <c r="D443" t="s">
        <v>156</v>
      </c>
      <c r="E443" t="s">
        <v>438</v>
      </c>
      <c r="F443" t="s">
        <v>439</v>
      </c>
      <c r="G443" t="s">
        <v>365</v>
      </c>
      <c r="H443">
        <v>25136</v>
      </c>
      <c r="I443">
        <v>325404</v>
      </c>
      <c r="J443">
        <v>23262671</v>
      </c>
      <c r="K443">
        <v>2</v>
      </c>
      <c r="L443">
        <v>2020</v>
      </c>
    </row>
    <row r="444" spans="1:12" x14ac:dyDescent="0.3">
      <c r="A444" t="s">
        <v>23</v>
      </c>
      <c r="B444">
        <v>24</v>
      </c>
      <c r="C444" t="s">
        <v>24</v>
      </c>
      <c r="D444" t="s">
        <v>105</v>
      </c>
      <c r="E444" t="s">
        <v>470</v>
      </c>
      <c r="F444" t="s">
        <v>471</v>
      </c>
      <c r="G444" t="s">
        <v>365</v>
      </c>
      <c r="H444">
        <v>22962</v>
      </c>
      <c r="I444">
        <v>79952</v>
      </c>
      <c r="J444">
        <v>5956121</v>
      </c>
      <c r="K444">
        <v>11</v>
      </c>
      <c r="L444">
        <v>2021</v>
      </c>
    </row>
    <row r="445" spans="1:12" x14ac:dyDescent="0.3">
      <c r="A445" t="s">
        <v>275</v>
      </c>
      <c r="B445">
        <v>28</v>
      </c>
      <c r="C445" t="s">
        <v>483</v>
      </c>
      <c r="D445" t="s">
        <v>412</v>
      </c>
      <c r="E445" t="s">
        <v>457</v>
      </c>
      <c r="F445" t="s">
        <v>458</v>
      </c>
      <c r="G445" t="s">
        <v>365</v>
      </c>
      <c r="H445">
        <v>277000</v>
      </c>
      <c r="I445">
        <v>56226</v>
      </c>
      <c r="J445">
        <v>4137906</v>
      </c>
      <c r="K445">
        <v>12</v>
      </c>
      <c r="L445">
        <v>2020</v>
      </c>
    </row>
    <row r="446" spans="1:12" x14ac:dyDescent="0.3">
      <c r="A446" t="s">
        <v>79</v>
      </c>
      <c r="B446">
        <v>9</v>
      </c>
      <c r="C446" t="s">
        <v>189</v>
      </c>
      <c r="D446" t="s">
        <v>145</v>
      </c>
      <c r="E446" t="s">
        <v>480</v>
      </c>
      <c r="F446" t="s">
        <v>481</v>
      </c>
      <c r="G446" t="s">
        <v>365</v>
      </c>
      <c r="H446">
        <v>100</v>
      </c>
      <c r="I446">
        <v>204</v>
      </c>
      <c r="J446">
        <v>15534</v>
      </c>
      <c r="K446">
        <v>4</v>
      </c>
      <c r="L446">
        <v>2020</v>
      </c>
    </row>
    <row r="447" spans="1:12" x14ac:dyDescent="0.3">
      <c r="A447" t="s">
        <v>58</v>
      </c>
      <c r="B447">
        <v>27</v>
      </c>
      <c r="C447" t="s">
        <v>125</v>
      </c>
      <c r="D447" t="s">
        <v>149</v>
      </c>
      <c r="E447" t="s">
        <v>160</v>
      </c>
      <c r="F447" t="s">
        <v>161</v>
      </c>
      <c r="G447" t="s">
        <v>365</v>
      </c>
      <c r="H447">
        <v>20</v>
      </c>
      <c r="I447">
        <v>134</v>
      </c>
      <c r="J447">
        <v>11079</v>
      </c>
      <c r="K447">
        <v>2</v>
      </c>
      <c r="L447">
        <v>2023</v>
      </c>
    </row>
    <row r="448" spans="1:12" x14ac:dyDescent="0.3">
      <c r="A448" t="s">
        <v>58</v>
      </c>
      <c r="B448">
        <v>27</v>
      </c>
      <c r="C448" t="s">
        <v>59</v>
      </c>
      <c r="D448" t="s">
        <v>288</v>
      </c>
      <c r="E448" t="s">
        <v>438</v>
      </c>
      <c r="F448" t="s">
        <v>439</v>
      </c>
      <c r="G448" t="s">
        <v>365</v>
      </c>
      <c r="H448">
        <v>3477</v>
      </c>
      <c r="I448">
        <v>196759</v>
      </c>
      <c r="J448">
        <v>14596502</v>
      </c>
      <c r="K448">
        <v>8</v>
      </c>
      <c r="L448">
        <v>2021</v>
      </c>
    </row>
    <row r="449" spans="1:12" x14ac:dyDescent="0.3">
      <c r="A449" t="s">
        <v>23</v>
      </c>
      <c r="B449">
        <v>24</v>
      </c>
      <c r="C449" t="s">
        <v>218</v>
      </c>
      <c r="D449" t="s">
        <v>172</v>
      </c>
      <c r="E449" t="s">
        <v>444</v>
      </c>
      <c r="F449" t="s">
        <v>445</v>
      </c>
      <c r="G449" t="s">
        <v>365</v>
      </c>
      <c r="H449">
        <v>2020</v>
      </c>
      <c r="I449">
        <v>11997</v>
      </c>
      <c r="J449">
        <v>763471</v>
      </c>
      <c r="K449">
        <v>1</v>
      </c>
      <c r="L449">
        <v>2018</v>
      </c>
    </row>
    <row r="450" spans="1:12" x14ac:dyDescent="0.3">
      <c r="A450" t="s">
        <v>23</v>
      </c>
      <c r="B450">
        <v>24</v>
      </c>
      <c r="C450" t="s">
        <v>38</v>
      </c>
      <c r="D450" t="s">
        <v>289</v>
      </c>
      <c r="E450" t="s">
        <v>123</v>
      </c>
      <c r="F450" t="s">
        <v>124</v>
      </c>
      <c r="G450" t="s">
        <v>365</v>
      </c>
      <c r="H450">
        <v>5</v>
      </c>
      <c r="I450">
        <v>147</v>
      </c>
      <c r="J450">
        <v>12132</v>
      </c>
      <c r="K450">
        <v>5</v>
      </c>
      <c r="L450">
        <v>2023</v>
      </c>
    </row>
    <row r="451" spans="1:12" x14ac:dyDescent="0.3">
      <c r="A451" t="s">
        <v>23</v>
      </c>
      <c r="B451">
        <v>24</v>
      </c>
      <c r="C451" t="s">
        <v>484</v>
      </c>
      <c r="D451" t="s">
        <v>344</v>
      </c>
      <c r="E451" t="s">
        <v>451</v>
      </c>
      <c r="F451" t="s">
        <v>452</v>
      </c>
      <c r="G451" t="s">
        <v>365</v>
      </c>
      <c r="H451">
        <v>7250</v>
      </c>
      <c r="I451">
        <v>34688</v>
      </c>
      <c r="J451">
        <v>2479761</v>
      </c>
      <c r="K451">
        <v>2</v>
      </c>
      <c r="L451">
        <v>2020</v>
      </c>
    </row>
    <row r="452" spans="1:12" x14ac:dyDescent="0.3">
      <c r="A452" t="s">
        <v>58</v>
      </c>
      <c r="B452">
        <v>27</v>
      </c>
      <c r="C452" t="s">
        <v>59</v>
      </c>
      <c r="D452" t="s">
        <v>134</v>
      </c>
      <c r="E452" t="s">
        <v>470</v>
      </c>
      <c r="F452" t="s">
        <v>471</v>
      </c>
      <c r="G452" t="s">
        <v>365</v>
      </c>
      <c r="H452">
        <v>84127</v>
      </c>
      <c r="I452">
        <v>850186</v>
      </c>
      <c r="J452">
        <v>69844423</v>
      </c>
      <c r="K452">
        <v>7</v>
      </c>
      <c r="L452">
        <v>2023</v>
      </c>
    </row>
    <row r="453" spans="1:12" x14ac:dyDescent="0.3">
      <c r="A453" t="s">
        <v>23</v>
      </c>
      <c r="B453">
        <v>24</v>
      </c>
      <c r="C453" t="s">
        <v>38</v>
      </c>
      <c r="D453" t="s">
        <v>247</v>
      </c>
      <c r="E453" t="s">
        <v>160</v>
      </c>
      <c r="F453" t="s">
        <v>161</v>
      </c>
      <c r="G453" t="s">
        <v>365</v>
      </c>
      <c r="H453">
        <v>1963</v>
      </c>
      <c r="I453">
        <v>3686</v>
      </c>
      <c r="J453">
        <v>304505</v>
      </c>
      <c r="K453">
        <v>2</v>
      </c>
      <c r="L453">
        <v>2023</v>
      </c>
    </row>
    <row r="454" spans="1:12" x14ac:dyDescent="0.3">
      <c r="A454" t="s">
        <v>28</v>
      </c>
      <c r="B454">
        <v>29</v>
      </c>
      <c r="C454" t="s">
        <v>236</v>
      </c>
      <c r="D454" t="s">
        <v>142</v>
      </c>
      <c r="E454" t="s">
        <v>457</v>
      </c>
      <c r="F454" t="s">
        <v>458</v>
      </c>
      <c r="G454" t="s">
        <v>365</v>
      </c>
      <c r="H454">
        <v>104115</v>
      </c>
      <c r="I454">
        <v>53590</v>
      </c>
      <c r="J454">
        <v>3727023</v>
      </c>
      <c r="K454">
        <v>8</v>
      </c>
      <c r="L454">
        <v>2018</v>
      </c>
    </row>
    <row r="455" spans="1:12" x14ac:dyDescent="0.3">
      <c r="A455" t="s">
        <v>23</v>
      </c>
      <c r="B455">
        <v>24</v>
      </c>
      <c r="C455" t="s">
        <v>485</v>
      </c>
      <c r="D455" t="s">
        <v>98</v>
      </c>
      <c r="E455" t="s">
        <v>460</v>
      </c>
      <c r="F455" t="s">
        <v>461</v>
      </c>
      <c r="G455" t="s">
        <v>365</v>
      </c>
      <c r="H455">
        <v>20000</v>
      </c>
      <c r="I455">
        <v>124243</v>
      </c>
      <c r="J455">
        <v>9606348</v>
      </c>
      <c r="K455">
        <v>5</v>
      </c>
      <c r="L455">
        <v>2022</v>
      </c>
    </row>
    <row r="456" spans="1:12" x14ac:dyDescent="0.3">
      <c r="A456" t="s">
        <v>23</v>
      </c>
      <c r="B456">
        <v>24</v>
      </c>
      <c r="C456" t="s">
        <v>486</v>
      </c>
      <c r="D456" t="s">
        <v>242</v>
      </c>
      <c r="E456" t="s">
        <v>442</v>
      </c>
      <c r="F456" t="s">
        <v>443</v>
      </c>
      <c r="G456" t="s">
        <v>365</v>
      </c>
      <c r="H456">
        <v>50000</v>
      </c>
      <c r="I456">
        <v>162997</v>
      </c>
      <c r="J456">
        <v>13077490</v>
      </c>
      <c r="K456">
        <v>9</v>
      </c>
      <c r="L456">
        <v>2022</v>
      </c>
    </row>
    <row r="457" spans="1:12" x14ac:dyDescent="0.3">
      <c r="A457" t="s">
        <v>79</v>
      </c>
      <c r="B457">
        <v>9</v>
      </c>
      <c r="C457" t="s">
        <v>189</v>
      </c>
      <c r="D457" t="s">
        <v>243</v>
      </c>
      <c r="E457" t="s">
        <v>438</v>
      </c>
      <c r="F457" t="s">
        <v>439</v>
      </c>
      <c r="G457" t="s">
        <v>365</v>
      </c>
      <c r="H457">
        <v>7482</v>
      </c>
      <c r="I457">
        <v>84184</v>
      </c>
      <c r="J457">
        <v>6192437</v>
      </c>
      <c r="K457">
        <v>6</v>
      </c>
      <c r="L457">
        <v>2021</v>
      </c>
    </row>
    <row r="458" spans="1:12" x14ac:dyDescent="0.3">
      <c r="A458" t="s">
        <v>137</v>
      </c>
      <c r="B458">
        <v>36</v>
      </c>
      <c r="C458" t="s">
        <v>138</v>
      </c>
      <c r="D458" t="s">
        <v>294</v>
      </c>
      <c r="E458" t="s">
        <v>438</v>
      </c>
      <c r="F458" t="s">
        <v>439</v>
      </c>
      <c r="G458" t="s">
        <v>365</v>
      </c>
      <c r="H458">
        <v>108150</v>
      </c>
      <c r="I458">
        <v>702454</v>
      </c>
      <c r="J458">
        <v>51356013</v>
      </c>
      <c r="K458">
        <v>1</v>
      </c>
      <c r="L458">
        <v>2021</v>
      </c>
    </row>
    <row r="459" spans="1:12" x14ac:dyDescent="0.3">
      <c r="A459" t="s">
        <v>47</v>
      </c>
      <c r="B459">
        <v>7</v>
      </c>
      <c r="C459" t="s">
        <v>51</v>
      </c>
      <c r="D459" t="s">
        <v>237</v>
      </c>
      <c r="E459" t="s">
        <v>487</v>
      </c>
      <c r="F459" t="s">
        <v>488</v>
      </c>
      <c r="G459" t="s">
        <v>365</v>
      </c>
      <c r="H459">
        <v>2700</v>
      </c>
      <c r="I459">
        <v>1776</v>
      </c>
      <c r="J459">
        <v>130505</v>
      </c>
      <c r="K459">
        <v>9</v>
      </c>
      <c r="L459">
        <v>2020</v>
      </c>
    </row>
    <row r="460" spans="1:12" x14ac:dyDescent="0.3">
      <c r="A460" t="s">
        <v>73</v>
      </c>
      <c r="B460">
        <v>3</v>
      </c>
      <c r="C460" t="s">
        <v>314</v>
      </c>
      <c r="D460" t="s">
        <v>489</v>
      </c>
      <c r="E460" t="s">
        <v>438</v>
      </c>
      <c r="F460" t="s">
        <v>439</v>
      </c>
      <c r="G460" t="s">
        <v>365</v>
      </c>
      <c r="H460">
        <v>27084</v>
      </c>
      <c r="I460">
        <v>54211</v>
      </c>
      <c r="J460">
        <v>4038517</v>
      </c>
      <c r="K460">
        <v>11</v>
      </c>
      <c r="L460">
        <v>2021</v>
      </c>
    </row>
    <row r="461" spans="1:12" x14ac:dyDescent="0.3">
      <c r="A461" t="s">
        <v>58</v>
      </c>
      <c r="B461">
        <v>27</v>
      </c>
      <c r="C461" t="s">
        <v>59</v>
      </c>
      <c r="D461" t="s">
        <v>198</v>
      </c>
      <c r="E461" t="s">
        <v>438</v>
      </c>
      <c r="F461" t="s">
        <v>439</v>
      </c>
      <c r="G461" t="s">
        <v>365</v>
      </c>
      <c r="H461">
        <v>12458</v>
      </c>
      <c r="I461">
        <v>242640</v>
      </c>
      <c r="J461">
        <v>15440841</v>
      </c>
      <c r="K461">
        <v>1</v>
      </c>
      <c r="L461">
        <v>2018</v>
      </c>
    </row>
    <row r="462" spans="1:12" x14ac:dyDescent="0.3">
      <c r="A462" t="s">
        <v>42</v>
      </c>
      <c r="B462">
        <v>33</v>
      </c>
      <c r="C462" t="s">
        <v>43</v>
      </c>
      <c r="D462" t="s">
        <v>153</v>
      </c>
      <c r="E462" t="s">
        <v>490</v>
      </c>
      <c r="F462" t="s">
        <v>491</v>
      </c>
      <c r="G462" t="s">
        <v>365</v>
      </c>
      <c r="H462">
        <v>408000</v>
      </c>
      <c r="I462">
        <v>83831</v>
      </c>
      <c r="J462">
        <v>5989897</v>
      </c>
      <c r="K462">
        <v>11</v>
      </c>
      <c r="L462">
        <v>2019</v>
      </c>
    </row>
    <row r="463" spans="1:12" x14ac:dyDescent="0.3">
      <c r="A463" t="s">
        <v>58</v>
      </c>
      <c r="B463">
        <v>27</v>
      </c>
      <c r="C463" t="s">
        <v>59</v>
      </c>
      <c r="D463" t="s">
        <v>459</v>
      </c>
      <c r="E463" t="s">
        <v>460</v>
      </c>
      <c r="F463" t="s">
        <v>461</v>
      </c>
      <c r="G463" t="s">
        <v>365</v>
      </c>
      <c r="H463">
        <v>26498</v>
      </c>
      <c r="I463">
        <v>339653</v>
      </c>
      <c r="J463">
        <v>27968148</v>
      </c>
      <c r="K463">
        <v>5</v>
      </c>
      <c r="L463">
        <v>2023</v>
      </c>
    </row>
    <row r="464" spans="1:12" x14ac:dyDescent="0.3">
      <c r="A464" t="s">
        <v>58</v>
      </c>
      <c r="B464">
        <v>27</v>
      </c>
      <c r="C464" t="s">
        <v>59</v>
      </c>
      <c r="D464" t="s">
        <v>261</v>
      </c>
      <c r="E464" t="s">
        <v>160</v>
      </c>
      <c r="F464" t="s">
        <v>161</v>
      </c>
      <c r="G464" t="s">
        <v>365</v>
      </c>
      <c r="H464">
        <v>468845</v>
      </c>
      <c r="I464">
        <v>1843000</v>
      </c>
      <c r="J464">
        <v>151164313</v>
      </c>
      <c r="K464">
        <v>4</v>
      </c>
      <c r="L464">
        <v>2023</v>
      </c>
    </row>
    <row r="465" spans="1:12" x14ac:dyDescent="0.3">
      <c r="A465" t="s">
        <v>23</v>
      </c>
      <c r="B465">
        <v>24</v>
      </c>
      <c r="C465" t="s">
        <v>24</v>
      </c>
      <c r="D465" t="s">
        <v>94</v>
      </c>
      <c r="E465" t="s">
        <v>444</v>
      </c>
      <c r="F465" t="s">
        <v>445</v>
      </c>
      <c r="G465" t="s">
        <v>365</v>
      </c>
      <c r="H465">
        <v>144</v>
      </c>
      <c r="I465">
        <v>899</v>
      </c>
      <c r="J465">
        <v>66120</v>
      </c>
      <c r="K465">
        <v>9</v>
      </c>
      <c r="L465">
        <v>2021</v>
      </c>
    </row>
    <row r="466" spans="1:12" x14ac:dyDescent="0.3">
      <c r="A466" t="s">
        <v>58</v>
      </c>
      <c r="B466">
        <v>27</v>
      </c>
      <c r="C466" t="s">
        <v>290</v>
      </c>
      <c r="D466" t="s">
        <v>193</v>
      </c>
      <c r="E466" t="s">
        <v>436</v>
      </c>
      <c r="F466" t="s">
        <v>437</v>
      </c>
      <c r="G466" t="s">
        <v>365</v>
      </c>
      <c r="H466">
        <v>125</v>
      </c>
      <c r="I466">
        <v>1807</v>
      </c>
      <c r="J466">
        <v>136744</v>
      </c>
      <c r="K466">
        <v>5</v>
      </c>
      <c r="L466">
        <v>2020</v>
      </c>
    </row>
    <row r="467" spans="1:12" x14ac:dyDescent="0.3">
      <c r="A467" t="s">
        <v>58</v>
      </c>
      <c r="B467">
        <v>27</v>
      </c>
      <c r="C467" t="s">
        <v>129</v>
      </c>
      <c r="D467" t="s">
        <v>68</v>
      </c>
      <c r="E467" t="s">
        <v>121</v>
      </c>
      <c r="F467" t="s">
        <v>122</v>
      </c>
      <c r="G467" t="s">
        <v>365</v>
      </c>
      <c r="H467">
        <v>6</v>
      </c>
      <c r="I467">
        <v>223</v>
      </c>
      <c r="J467">
        <v>16315</v>
      </c>
      <c r="K467">
        <v>5</v>
      </c>
      <c r="L467">
        <v>2021</v>
      </c>
    </row>
    <row r="468" spans="1:12" x14ac:dyDescent="0.3">
      <c r="A468" t="s">
        <v>58</v>
      </c>
      <c r="B468">
        <v>27</v>
      </c>
      <c r="C468" t="s">
        <v>125</v>
      </c>
      <c r="D468" t="s">
        <v>394</v>
      </c>
      <c r="E468" t="s">
        <v>375</v>
      </c>
      <c r="F468" t="s">
        <v>376</v>
      </c>
      <c r="G468" t="s">
        <v>365</v>
      </c>
      <c r="H468">
        <v>200</v>
      </c>
      <c r="I468">
        <v>52799</v>
      </c>
      <c r="J468">
        <v>3760445</v>
      </c>
      <c r="K468">
        <v>2</v>
      </c>
      <c r="L468">
        <v>2019</v>
      </c>
    </row>
    <row r="469" spans="1:12" x14ac:dyDescent="0.3">
      <c r="A469" t="s">
        <v>18</v>
      </c>
      <c r="B469">
        <v>6</v>
      </c>
      <c r="C469" t="s">
        <v>97</v>
      </c>
      <c r="D469" t="s">
        <v>261</v>
      </c>
      <c r="E469" t="s">
        <v>492</v>
      </c>
      <c r="F469" t="s">
        <v>493</v>
      </c>
      <c r="G469" t="s">
        <v>365</v>
      </c>
      <c r="H469">
        <v>1317</v>
      </c>
      <c r="I469">
        <v>5286</v>
      </c>
      <c r="J469">
        <v>434291</v>
      </c>
      <c r="K469">
        <v>7</v>
      </c>
      <c r="L469">
        <v>2023</v>
      </c>
    </row>
    <row r="470" spans="1:12" x14ac:dyDescent="0.3">
      <c r="A470" t="s">
        <v>79</v>
      </c>
      <c r="B470">
        <v>9</v>
      </c>
      <c r="C470" t="s">
        <v>213</v>
      </c>
      <c r="D470" t="s">
        <v>241</v>
      </c>
      <c r="E470" t="s">
        <v>494</v>
      </c>
      <c r="F470" t="s">
        <v>495</v>
      </c>
      <c r="G470" t="s">
        <v>365</v>
      </c>
      <c r="H470">
        <v>5956</v>
      </c>
      <c r="I470">
        <v>6275</v>
      </c>
      <c r="J470">
        <v>518345</v>
      </c>
      <c r="K470">
        <v>2</v>
      </c>
      <c r="L470">
        <v>2023</v>
      </c>
    </row>
    <row r="471" spans="1:12" x14ac:dyDescent="0.3">
      <c r="A471" t="s">
        <v>58</v>
      </c>
      <c r="B471">
        <v>27</v>
      </c>
      <c r="C471" t="s">
        <v>125</v>
      </c>
      <c r="D471" t="s">
        <v>496</v>
      </c>
      <c r="E471" t="s">
        <v>438</v>
      </c>
      <c r="F471" t="s">
        <v>439</v>
      </c>
      <c r="G471" t="s">
        <v>365</v>
      </c>
      <c r="H471">
        <v>136</v>
      </c>
      <c r="I471">
        <v>10516</v>
      </c>
      <c r="J471">
        <v>843728</v>
      </c>
      <c r="K471">
        <v>9</v>
      </c>
      <c r="L471">
        <v>2022</v>
      </c>
    </row>
    <row r="472" spans="1:12" x14ac:dyDescent="0.3">
      <c r="A472" t="s">
        <v>28</v>
      </c>
      <c r="B472">
        <v>29</v>
      </c>
      <c r="C472" t="s">
        <v>236</v>
      </c>
      <c r="D472" t="s">
        <v>241</v>
      </c>
      <c r="E472" t="s">
        <v>363</v>
      </c>
      <c r="F472" t="s">
        <v>364</v>
      </c>
      <c r="G472" t="s">
        <v>365</v>
      </c>
      <c r="H472">
        <v>190</v>
      </c>
      <c r="I472">
        <v>3039</v>
      </c>
      <c r="J472">
        <v>231708</v>
      </c>
      <c r="K472">
        <v>4</v>
      </c>
      <c r="L472">
        <v>2020</v>
      </c>
    </row>
    <row r="473" spans="1:12" x14ac:dyDescent="0.3">
      <c r="A473" t="s">
        <v>58</v>
      </c>
      <c r="B473">
        <v>27</v>
      </c>
      <c r="C473" t="s">
        <v>125</v>
      </c>
      <c r="D473" t="s">
        <v>149</v>
      </c>
      <c r="E473" t="s">
        <v>453</v>
      </c>
      <c r="F473" t="s">
        <v>454</v>
      </c>
      <c r="G473" t="s">
        <v>365</v>
      </c>
      <c r="H473">
        <v>63</v>
      </c>
      <c r="I473">
        <v>952</v>
      </c>
      <c r="J473">
        <v>67814</v>
      </c>
      <c r="K473">
        <v>2</v>
      </c>
      <c r="L473">
        <v>2019</v>
      </c>
    </row>
    <row r="474" spans="1:12" x14ac:dyDescent="0.3">
      <c r="A474" t="s">
        <v>58</v>
      </c>
      <c r="B474">
        <v>27</v>
      </c>
      <c r="C474" t="s">
        <v>59</v>
      </c>
      <c r="D474" t="s">
        <v>291</v>
      </c>
      <c r="E474" t="s">
        <v>492</v>
      </c>
      <c r="F474" t="s">
        <v>493</v>
      </c>
      <c r="G474" t="s">
        <v>365</v>
      </c>
      <c r="H474">
        <v>4</v>
      </c>
      <c r="I474">
        <v>46</v>
      </c>
      <c r="J474">
        <v>3413</v>
      </c>
      <c r="K474">
        <v>9</v>
      </c>
      <c r="L474">
        <v>2020</v>
      </c>
    </row>
    <row r="475" spans="1:12" x14ac:dyDescent="0.3">
      <c r="A475" t="s">
        <v>23</v>
      </c>
      <c r="B475">
        <v>24</v>
      </c>
      <c r="C475" t="s">
        <v>38</v>
      </c>
      <c r="D475" t="s">
        <v>105</v>
      </c>
      <c r="E475" t="s">
        <v>438</v>
      </c>
      <c r="F475" t="s">
        <v>439</v>
      </c>
      <c r="G475" t="s">
        <v>365</v>
      </c>
      <c r="H475">
        <v>4665</v>
      </c>
      <c r="I475">
        <v>39347</v>
      </c>
      <c r="J475">
        <v>2996966</v>
      </c>
      <c r="K475">
        <v>4</v>
      </c>
      <c r="L475">
        <v>2022</v>
      </c>
    </row>
    <row r="476" spans="1:12" x14ac:dyDescent="0.3">
      <c r="A476" t="s">
        <v>23</v>
      </c>
      <c r="B476">
        <v>24</v>
      </c>
      <c r="C476" t="s">
        <v>218</v>
      </c>
      <c r="D476" t="s">
        <v>256</v>
      </c>
      <c r="E476" t="s">
        <v>460</v>
      </c>
      <c r="F476" t="s">
        <v>461</v>
      </c>
      <c r="G476" t="s">
        <v>365</v>
      </c>
      <c r="H476">
        <v>110</v>
      </c>
      <c r="I476">
        <v>3988</v>
      </c>
      <c r="J476">
        <v>298764</v>
      </c>
      <c r="K476">
        <v>10</v>
      </c>
      <c r="L476">
        <v>2021</v>
      </c>
    </row>
    <row r="477" spans="1:12" x14ac:dyDescent="0.3">
      <c r="A477" t="s">
        <v>137</v>
      </c>
      <c r="B477">
        <v>36</v>
      </c>
      <c r="C477" t="s">
        <v>138</v>
      </c>
      <c r="D477" t="s">
        <v>105</v>
      </c>
      <c r="E477" t="s">
        <v>476</v>
      </c>
      <c r="F477" t="s">
        <v>477</v>
      </c>
      <c r="G477" t="s">
        <v>365</v>
      </c>
      <c r="H477">
        <v>831</v>
      </c>
      <c r="I477">
        <v>4709</v>
      </c>
      <c r="J477">
        <v>350974</v>
      </c>
      <c r="K477">
        <v>7</v>
      </c>
      <c r="L477">
        <v>2021</v>
      </c>
    </row>
    <row r="478" spans="1:12" x14ac:dyDescent="0.3">
      <c r="A478" t="s">
        <v>47</v>
      </c>
      <c r="B478">
        <v>7</v>
      </c>
      <c r="C478" t="s">
        <v>48</v>
      </c>
      <c r="D478" t="s">
        <v>102</v>
      </c>
      <c r="E478" t="s">
        <v>494</v>
      </c>
      <c r="F478" t="s">
        <v>495</v>
      </c>
      <c r="G478" t="s">
        <v>365</v>
      </c>
      <c r="H478">
        <v>4400</v>
      </c>
      <c r="I478">
        <v>5074</v>
      </c>
      <c r="J478">
        <v>376380</v>
      </c>
      <c r="K478">
        <v>8</v>
      </c>
      <c r="L478">
        <v>2021</v>
      </c>
    </row>
    <row r="479" spans="1:12" x14ac:dyDescent="0.3">
      <c r="A479" t="s">
        <v>28</v>
      </c>
      <c r="B479">
        <v>29</v>
      </c>
      <c r="C479" t="s">
        <v>236</v>
      </c>
      <c r="D479" t="s">
        <v>76</v>
      </c>
      <c r="E479" t="s">
        <v>480</v>
      </c>
      <c r="F479" t="s">
        <v>481</v>
      </c>
      <c r="G479" t="s">
        <v>365</v>
      </c>
      <c r="H479">
        <v>90310</v>
      </c>
      <c r="I479">
        <v>325480</v>
      </c>
      <c r="J479">
        <v>26696100</v>
      </c>
      <c r="K479">
        <v>4</v>
      </c>
      <c r="L479">
        <v>2023</v>
      </c>
    </row>
    <row r="480" spans="1:12" x14ac:dyDescent="0.3">
      <c r="A480" t="s">
        <v>23</v>
      </c>
      <c r="B480">
        <v>24</v>
      </c>
      <c r="C480" t="s">
        <v>235</v>
      </c>
      <c r="D480" t="s">
        <v>105</v>
      </c>
      <c r="E480" t="s">
        <v>363</v>
      </c>
      <c r="F480" t="s">
        <v>364</v>
      </c>
      <c r="G480" t="s">
        <v>365</v>
      </c>
      <c r="H480">
        <v>159156</v>
      </c>
      <c r="I480">
        <v>286004</v>
      </c>
      <c r="J480">
        <v>19389078</v>
      </c>
      <c r="K480">
        <v>6</v>
      </c>
      <c r="L480">
        <v>2018</v>
      </c>
    </row>
    <row r="481" spans="1:12" x14ac:dyDescent="0.3">
      <c r="A481" t="s">
        <v>47</v>
      </c>
      <c r="B481">
        <v>7</v>
      </c>
      <c r="C481" t="s">
        <v>51</v>
      </c>
      <c r="D481" t="s">
        <v>20</v>
      </c>
      <c r="E481" t="s">
        <v>123</v>
      </c>
      <c r="F481" t="s">
        <v>124</v>
      </c>
      <c r="G481" t="s">
        <v>365</v>
      </c>
      <c r="H481">
        <v>24730</v>
      </c>
      <c r="I481">
        <v>98337</v>
      </c>
      <c r="J481">
        <v>7320346</v>
      </c>
      <c r="K481">
        <v>1</v>
      </c>
      <c r="L481">
        <v>2022</v>
      </c>
    </row>
    <row r="482" spans="1:12" x14ac:dyDescent="0.3">
      <c r="A482" t="s">
        <v>47</v>
      </c>
      <c r="B482">
        <v>7</v>
      </c>
      <c r="C482" t="s">
        <v>51</v>
      </c>
      <c r="D482" t="s">
        <v>180</v>
      </c>
      <c r="E482" t="s">
        <v>160</v>
      </c>
      <c r="F482" t="s">
        <v>161</v>
      </c>
      <c r="G482" t="s">
        <v>365</v>
      </c>
      <c r="H482">
        <v>2377</v>
      </c>
      <c r="I482">
        <v>11474</v>
      </c>
      <c r="J482">
        <v>860565</v>
      </c>
      <c r="K482">
        <v>2</v>
      </c>
      <c r="L482">
        <v>2022</v>
      </c>
    </row>
    <row r="483" spans="1:12" x14ac:dyDescent="0.3">
      <c r="A483" t="s">
        <v>47</v>
      </c>
      <c r="B483">
        <v>7</v>
      </c>
      <c r="C483" t="s">
        <v>48</v>
      </c>
      <c r="D483" t="s">
        <v>497</v>
      </c>
      <c r="E483" t="s">
        <v>438</v>
      </c>
      <c r="F483" t="s">
        <v>439</v>
      </c>
      <c r="G483" t="s">
        <v>365</v>
      </c>
      <c r="H483">
        <v>467</v>
      </c>
      <c r="I483">
        <v>11463</v>
      </c>
      <c r="J483">
        <v>816420</v>
      </c>
      <c r="K483">
        <v>2</v>
      </c>
      <c r="L483">
        <v>2019</v>
      </c>
    </row>
    <row r="484" spans="1:12" x14ac:dyDescent="0.3">
      <c r="A484" t="s">
        <v>47</v>
      </c>
      <c r="B484">
        <v>7</v>
      </c>
      <c r="C484" t="s">
        <v>48</v>
      </c>
      <c r="D484" t="s">
        <v>194</v>
      </c>
      <c r="E484" t="s">
        <v>490</v>
      </c>
      <c r="F484" t="s">
        <v>491</v>
      </c>
      <c r="G484" t="s">
        <v>365</v>
      </c>
      <c r="H484">
        <v>37</v>
      </c>
      <c r="I484">
        <v>15</v>
      </c>
      <c r="J484">
        <v>1121</v>
      </c>
      <c r="K484">
        <v>6</v>
      </c>
      <c r="L484">
        <v>2020</v>
      </c>
    </row>
    <row r="485" spans="1:12" x14ac:dyDescent="0.3">
      <c r="A485" t="s">
        <v>58</v>
      </c>
      <c r="B485">
        <v>27</v>
      </c>
      <c r="C485" t="s">
        <v>59</v>
      </c>
      <c r="D485" t="s">
        <v>380</v>
      </c>
      <c r="E485" t="s">
        <v>438</v>
      </c>
      <c r="F485" t="s">
        <v>439</v>
      </c>
      <c r="G485" t="s">
        <v>365</v>
      </c>
      <c r="H485">
        <v>17809</v>
      </c>
      <c r="I485">
        <v>234674</v>
      </c>
      <c r="J485">
        <v>17890723</v>
      </c>
      <c r="K485">
        <v>4</v>
      </c>
      <c r="L485">
        <v>2020</v>
      </c>
    </row>
    <row r="486" spans="1:12" x14ac:dyDescent="0.3">
      <c r="A486" t="s">
        <v>58</v>
      </c>
      <c r="B486">
        <v>27</v>
      </c>
      <c r="C486" t="s">
        <v>59</v>
      </c>
      <c r="D486" t="s">
        <v>167</v>
      </c>
      <c r="E486" t="s">
        <v>490</v>
      </c>
      <c r="F486" t="s">
        <v>491</v>
      </c>
      <c r="G486" t="s">
        <v>365</v>
      </c>
      <c r="H486">
        <v>1557000</v>
      </c>
      <c r="I486">
        <v>857761</v>
      </c>
      <c r="J486">
        <v>63158944</v>
      </c>
      <c r="K486">
        <v>10</v>
      </c>
      <c r="L486">
        <v>2018</v>
      </c>
    </row>
    <row r="487" spans="1:12" x14ac:dyDescent="0.3">
      <c r="A487" t="s">
        <v>42</v>
      </c>
      <c r="B487">
        <v>33</v>
      </c>
      <c r="C487" t="s">
        <v>111</v>
      </c>
      <c r="D487" t="s">
        <v>39</v>
      </c>
      <c r="E487" t="s">
        <v>438</v>
      </c>
      <c r="F487" t="s">
        <v>439</v>
      </c>
      <c r="G487" t="s">
        <v>365</v>
      </c>
      <c r="H487">
        <v>550</v>
      </c>
      <c r="I487">
        <v>15604</v>
      </c>
      <c r="J487">
        <v>1148359</v>
      </c>
      <c r="K487">
        <v>12</v>
      </c>
      <c r="L487">
        <v>2020</v>
      </c>
    </row>
    <row r="488" spans="1:12" x14ac:dyDescent="0.3">
      <c r="A488" t="s">
        <v>498</v>
      </c>
      <c r="B488">
        <v>18</v>
      </c>
      <c r="C488" t="s">
        <v>499</v>
      </c>
      <c r="D488" t="s">
        <v>126</v>
      </c>
      <c r="E488" t="s">
        <v>462</v>
      </c>
      <c r="F488" t="s">
        <v>463</v>
      </c>
      <c r="G488" t="s">
        <v>365</v>
      </c>
      <c r="H488">
        <v>48</v>
      </c>
      <c r="I488">
        <v>292</v>
      </c>
      <c r="J488">
        <v>20774</v>
      </c>
      <c r="K488">
        <v>8</v>
      </c>
      <c r="L488">
        <v>2019</v>
      </c>
    </row>
    <row r="489" spans="1:12" x14ac:dyDescent="0.3">
      <c r="A489" t="s">
        <v>42</v>
      </c>
      <c r="B489">
        <v>33</v>
      </c>
      <c r="C489" t="s">
        <v>170</v>
      </c>
      <c r="D489" t="s">
        <v>320</v>
      </c>
      <c r="E489" t="s">
        <v>436</v>
      </c>
      <c r="F489" t="s">
        <v>437</v>
      </c>
      <c r="G489" t="s">
        <v>365</v>
      </c>
      <c r="H489">
        <v>23750</v>
      </c>
      <c r="I489">
        <v>39949</v>
      </c>
      <c r="J489">
        <v>3118969</v>
      </c>
      <c r="K489">
        <v>6</v>
      </c>
      <c r="L489">
        <v>2022</v>
      </c>
    </row>
    <row r="490" spans="1:12" x14ac:dyDescent="0.3">
      <c r="A490" t="s">
        <v>47</v>
      </c>
      <c r="B490">
        <v>7</v>
      </c>
      <c r="C490" t="s">
        <v>48</v>
      </c>
      <c r="D490" t="s">
        <v>30</v>
      </c>
      <c r="E490" t="s">
        <v>474</v>
      </c>
      <c r="F490" t="s">
        <v>475</v>
      </c>
      <c r="G490" t="s">
        <v>365</v>
      </c>
      <c r="H490">
        <v>100</v>
      </c>
      <c r="I490">
        <v>8189</v>
      </c>
      <c r="J490">
        <v>610338</v>
      </c>
      <c r="K490">
        <v>7</v>
      </c>
      <c r="L490">
        <v>2021</v>
      </c>
    </row>
    <row r="491" spans="1:12" x14ac:dyDescent="0.3">
      <c r="A491" t="s">
        <v>47</v>
      </c>
      <c r="B491">
        <v>7</v>
      </c>
      <c r="C491" t="s">
        <v>48</v>
      </c>
      <c r="D491" t="s">
        <v>220</v>
      </c>
      <c r="E491" t="s">
        <v>438</v>
      </c>
      <c r="F491" t="s">
        <v>439</v>
      </c>
      <c r="G491" t="s">
        <v>365</v>
      </c>
      <c r="H491">
        <v>56751</v>
      </c>
      <c r="I491">
        <v>2334868</v>
      </c>
      <c r="J491">
        <v>171070394</v>
      </c>
      <c r="K491">
        <v>5</v>
      </c>
      <c r="L491">
        <v>2021</v>
      </c>
    </row>
    <row r="492" spans="1:12" x14ac:dyDescent="0.3">
      <c r="A492" t="s">
        <v>47</v>
      </c>
      <c r="B492">
        <v>7</v>
      </c>
      <c r="C492" t="s">
        <v>48</v>
      </c>
      <c r="D492" t="s">
        <v>380</v>
      </c>
      <c r="E492" t="s">
        <v>444</v>
      </c>
      <c r="F492" t="s">
        <v>445</v>
      </c>
      <c r="G492" t="s">
        <v>365</v>
      </c>
      <c r="H492">
        <v>12</v>
      </c>
      <c r="I492">
        <v>3044</v>
      </c>
      <c r="J492">
        <v>230548</v>
      </c>
      <c r="K492">
        <v>6</v>
      </c>
      <c r="L492">
        <v>2020</v>
      </c>
    </row>
    <row r="493" spans="1:12" x14ac:dyDescent="0.3">
      <c r="A493" t="s">
        <v>23</v>
      </c>
      <c r="B493">
        <v>24</v>
      </c>
      <c r="C493" t="s">
        <v>24</v>
      </c>
      <c r="D493" t="s">
        <v>131</v>
      </c>
      <c r="E493" t="s">
        <v>480</v>
      </c>
      <c r="F493" t="s">
        <v>481</v>
      </c>
      <c r="G493" t="s">
        <v>365</v>
      </c>
      <c r="H493">
        <v>9650</v>
      </c>
      <c r="I493">
        <v>17179</v>
      </c>
      <c r="J493">
        <v>1215062</v>
      </c>
      <c r="K493">
        <v>12</v>
      </c>
      <c r="L493">
        <v>2018</v>
      </c>
    </row>
    <row r="494" spans="1:12" x14ac:dyDescent="0.3">
      <c r="A494" t="s">
        <v>47</v>
      </c>
      <c r="B494">
        <v>7</v>
      </c>
      <c r="C494" t="s">
        <v>48</v>
      </c>
      <c r="D494" t="s">
        <v>68</v>
      </c>
      <c r="E494" t="s">
        <v>460</v>
      </c>
      <c r="F494" t="s">
        <v>461</v>
      </c>
      <c r="G494" t="s">
        <v>365</v>
      </c>
      <c r="H494">
        <v>3146</v>
      </c>
      <c r="I494">
        <v>683179</v>
      </c>
      <c r="J494">
        <v>51180564</v>
      </c>
      <c r="K494">
        <v>10</v>
      </c>
      <c r="L494">
        <v>2021</v>
      </c>
    </row>
    <row r="495" spans="1:12" x14ac:dyDescent="0.3">
      <c r="A495" t="s">
        <v>132</v>
      </c>
      <c r="B495">
        <v>19</v>
      </c>
      <c r="C495" t="s">
        <v>209</v>
      </c>
      <c r="D495" t="s">
        <v>68</v>
      </c>
      <c r="E495" t="s">
        <v>436</v>
      </c>
      <c r="F495" t="s">
        <v>437</v>
      </c>
      <c r="G495" t="s">
        <v>365</v>
      </c>
      <c r="H495">
        <v>39800</v>
      </c>
      <c r="I495">
        <v>44614</v>
      </c>
      <c r="J495">
        <v>3342255</v>
      </c>
      <c r="K495">
        <v>10</v>
      </c>
      <c r="L495">
        <v>2021</v>
      </c>
    </row>
    <row r="496" spans="1:12" x14ac:dyDescent="0.3">
      <c r="A496" t="s">
        <v>275</v>
      </c>
      <c r="B496">
        <v>28</v>
      </c>
      <c r="C496" t="s">
        <v>469</v>
      </c>
      <c r="D496" t="s">
        <v>90</v>
      </c>
      <c r="E496" t="s">
        <v>442</v>
      </c>
      <c r="F496" t="s">
        <v>443</v>
      </c>
      <c r="G496" t="s">
        <v>365</v>
      </c>
      <c r="H496">
        <v>4411916</v>
      </c>
      <c r="I496">
        <v>24134288</v>
      </c>
      <c r="J496">
        <v>1791242038</v>
      </c>
      <c r="K496">
        <v>11</v>
      </c>
      <c r="L496">
        <v>2020</v>
      </c>
    </row>
    <row r="497" spans="1:12" x14ac:dyDescent="0.3">
      <c r="A497" t="s">
        <v>28</v>
      </c>
      <c r="B497">
        <v>29</v>
      </c>
      <c r="C497" t="s">
        <v>29</v>
      </c>
      <c r="D497" t="s">
        <v>215</v>
      </c>
      <c r="E497" t="s">
        <v>121</v>
      </c>
      <c r="F497" t="s">
        <v>122</v>
      </c>
      <c r="G497" t="s">
        <v>365</v>
      </c>
      <c r="H497">
        <v>1035</v>
      </c>
      <c r="I497">
        <v>13298</v>
      </c>
      <c r="J497">
        <v>1096643</v>
      </c>
      <c r="K497">
        <v>12</v>
      </c>
      <c r="L497">
        <v>2022</v>
      </c>
    </row>
    <row r="498" spans="1:12" x14ac:dyDescent="0.3">
      <c r="A498" t="s">
        <v>58</v>
      </c>
      <c r="B498">
        <v>27</v>
      </c>
      <c r="C498" t="s">
        <v>59</v>
      </c>
      <c r="D498" t="s">
        <v>321</v>
      </c>
      <c r="E498" t="s">
        <v>462</v>
      </c>
      <c r="F498" t="s">
        <v>463</v>
      </c>
      <c r="G498" t="s">
        <v>365</v>
      </c>
      <c r="H498">
        <v>5000</v>
      </c>
      <c r="I498">
        <v>27264</v>
      </c>
      <c r="J498">
        <v>1902320</v>
      </c>
      <c r="K498">
        <v>5</v>
      </c>
      <c r="L498">
        <v>2019</v>
      </c>
    </row>
    <row r="499" spans="1:12" x14ac:dyDescent="0.3">
      <c r="A499" t="s">
        <v>58</v>
      </c>
      <c r="B499">
        <v>27</v>
      </c>
      <c r="C499" t="s">
        <v>216</v>
      </c>
      <c r="D499" t="s">
        <v>35</v>
      </c>
      <c r="E499" t="s">
        <v>500</v>
      </c>
      <c r="F499" t="s">
        <v>501</v>
      </c>
      <c r="G499" t="s">
        <v>365</v>
      </c>
      <c r="H499">
        <v>51400</v>
      </c>
      <c r="I499">
        <v>143870</v>
      </c>
      <c r="J499">
        <v>10259915</v>
      </c>
      <c r="K499">
        <v>1</v>
      </c>
      <c r="L499">
        <v>2020</v>
      </c>
    </row>
    <row r="500" spans="1:12" x14ac:dyDescent="0.3">
      <c r="A500" t="s">
        <v>275</v>
      </c>
      <c r="B500">
        <v>28</v>
      </c>
      <c r="C500" t="s">
        <v>502</v>
      </c>
      <c r="D500" t="s">
        <v>289</v>
      </c>
      <c r="E500" t="s">
        <v>442</v>
      </c>
      <c r="F500" t="s">
        <v>443</v>
      </c>
      <c r="G500" t="s">
        <v>365</v>
      </c>
      <c r="H500">
        <v>24000</v>
      </c>
      <c r="I500">
        <v>119385</v>
      </c>
      <c r="J500">
        <v>8499356</v>
      </c>
      <c r="K500">
        <v>12</v>
      </c>
      <c r="L500">
        <v>2019</v>
      </c>
    </row>
    <row r="501" spans="1:12" x14ac:dyDescent="0.3">
      <c r="A501" t="s">
        <v>28</v>
      </c>
      <c r="B501">
        <v>29</v>
      </c>
      <c r="C501" t="s">
        <v>29</v>
      </c>
      <c r="D501" t="s">
        <v>190</v>
      </c>
      <c r="E501" t="s">
        <v>503</v>
      </c>
      <c r="F501" t="s">
        <v>504</v>
      </c>
      <c r="G501" t="s">
        <v>365</v>
      </c>
      <c r="H501">
        <v>12778</v>
      </c>
      <c r="I501">
        <v>43293</v>
      </c>
      <c r="J501">
        <v>3062237</v>
      </c>
      <c r="K501">
        <v>1</v>
      </c>
      <c r="L501">
        <v>2019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3E3E-C5C9-4990-8CD0-EA91F874B8FE}">
  <dimension ref="A1:L501"/>
  <sheetViews>
    <sheetView workbookViewId="0">
      <selection activeCell="J41" sqref="J41"/>
    </sheetView>
  </sheetViews>
  <sheetFormatPr defaultRowHeight="14.4" x14ac:dyDescent="0.3"/>
  <cols>
    <col min="1" max="1" width="15.5546875" customWidth="1"/>
    <col min="2" max="2" width="10" customWidth="1"/>
    <col min="3" max="3" width="27.44140625" customWidth="1"/>
    <col min="4" max="4" width="13.6640625" customWidth="1"/>
    <col min="5" max="5" width="15.109375" customWidth="1"/>
    <col min="6" max="6" width="25.88671875" customWidth="1"/>
    <col min="7" max="7" width="16.109375" customWidth="1"/>
    <col min="10" max="10" width="11.21875" customWidth="1"/>
  </cols>
  <sheetData>
    <row r="1" spans="1:12" x14ac:dyDescent="0.3">
      <c r="A1" s="1" t="s">
        <v>0</v>
      </c>
      <c r="B1" s="1" t="s">
        <v>1</v>
      </c>
      <c r="C1" s="1" t="s">
        <v>505</v>
      </c>
      <c r="D1" s="1" t="s">
        <v>506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42</v>
      </c>
      <c r="B2" s="2">
        <v>33</v>
      </c>
      <c r="C2" s="1" t="s">
        <v>238</v>
      </c>
      <c r="D2" s="1" t="s">
        <v>90</v>
      </c>
      <c r="E2" s="1" t="s">
        <v>347</v>
      </c>
      <c r="F2" s="1" t="s">
        <v>542</v>
      </c>
      <c r="G2" s="1" t="s">
        <v>17</v>
      </c>
      <c r="H2" s="2">
        <v>0</v>
      </c>
      <c r="I2" s="2">
        <v>268</v>
      </c>
      <c r="J2" s="2">
        <v>17559</v>
      </c>
      <c r="K2" s="2">
        <v>4</v>
      </c>
      <c r="L2" s="2">
        <v>2018</v>
      </c>
    </row>
    <row r="3" spans="1:12" x14ac:dyDescent="0.3">
      <c r="A3" s="1" t="s">
        <v>42</v>
      </c>
      <c r="B3" s="2">
        <v>33</v>
      </c>
      <c r="C3" s="1" t="s">
        <v>176</v>
      </c>
      <c r="D3" s="1" t="s">
        <v>205</v>
      </c>
      <c r="E3" s="1" t="s">
        <v>543</v>
      </c>
      <c r="F3" s="1" t="s">
        <v>544</v>
      </c>
      <c r="G3" s="1" t="s">
        <v>17</v>
      </c>
      <c r="H3" s="2">
        <v>0</v>
      </c>
      <c r="I3" s="2">
        <v>14955</v>
      </c>
      <c r="J3" s="2">
        <v>1121491</v>
      </c>
      <c r="K3" s="2">
        <v>7</v>
      </c>
      <c r="L3" s="2">
        <v>2020</v>
      </c>
    </row>
    <row r="4" spans="1:12" x14ac:dyDescent="0.3">
      <c r="A4" s="1" t="s">
        <v>42</v>
      </c>
      <c r="B4" s="2">
        <v>33</v>
      </c>
      <c r="C4" s="1" t="s">
        <v>545</v>
      </c>
      <c r="D4" s="1" t="s">
        <v>20</v>
      </c>
      <c r="E4" s="1" t="s">
        <v>127</v>
      </c>
      <c r="F4" s="1" t="s">
        <v>128</v>
      </c>
      <c r="G4" s="1" t="s">
        <v>17</v>
      </c>
      <c r="H4" s="2">
        <v>0</v>
      </c>
      <c r="I4" s="2">
        <v>39959</v>
      </c>
      <c r="J4" s="2">
        <v>3318517</v>
      </c>
      <c r="K4" s="2">
        <v>9</v>
      </c>
      <c r="L4" s="2">
        <v>2023</v>
      </c>
    </row>
    <row r="5" spans="1:12" x14ac:dyDescent="0.3">
      <c r="A5" s="1" t="s">
        <v>42</v>
      </c>
      <c r="B5" s="2">
        <v>33</v>
      </c>
      <c r="C5" s="1" t="s">
        <v>546</v>
      </c>
      <c r="D5" s="1" t="s">
        <v>108</v>
      </c>
      <c r="E5" s="1" t="s">
        <v>258</v>
      </c>
      <c r="F5" s="1" t="s">
        <v>259</v>
      </c>
      <c r="G5" s="1" t="s">
        <v>17</v>
      </c>
      <c r="H5" s="2">
        <v>0</v>
      </c>
      <c r="I5" s="2">
        <v>6931</v>
      </c>
      <c r="J5" s="2">
        <v>516161</v>
      </c>
      <c r="K5" s="2">
        <v>4</v>
      </c>
      <c r="L5" s="2">
        <v>2021</v>
      </c>
    </row>
    <row r="6" spans="1:12" x14ac:dyDescent="0.3">
      <c r="A6" s="1" t="s">
        <v>42</v>
      </c>
      <c r="B6" s="2">
        <v>33</v>
      </c>
      <c r="C6" s="1" t="s">
        <v>55</v>
      </c>
      <c r="D6" s="1" t="s">
        <v>90</v>
      </c>
      <c r="E6" s="1" t="s">
        <v>338</v>
      </c>
      <c r="F6" s="1" t="s">
        <v>339</v>
      </c>
      <c r="G6" s="1" t="s">
        <v>17</v>
      </c>
      <c r="H6" s="2">
        <v>0</v>
      </c>
      <c r="I6" s="2">
        <v>371337</v>
      </c>
      <c r="J6" s="2">
        <v>30931652</v>
      </c>
      <c r="K6" s="2">
        <v>11</v>
      </c>
      <c r="L6" s="2">
        <v>2023</v>
      </c>
    </row>
    <row r="7" spans="1:12" x14ac:dyDescent="0.3">
      <c r="A7" s="1" t="s">
        <v>42</v>
      </c>
      <c r="B7" s="2">
        <v>33</v>
      </c>
      <c r="C7" s="1" t="s">
        <v>547</v>
      </c>
      <c r="D7" s="1" t="s">
        <v>90</v>
      </c>
      <c r="E7" s="1" t="s">
        <v>86</v>
      </c>
      <c r="F7" s="1" t="s">
        <v>548</v>
      </c>
      <c r="G7" s="1" t="s">
        <v>17</v>
      </c>
      <c r="H7" s="2">
        <v>0</v>
      </c>
      <c r="I7" s="2">
        <v>3385</v>
      </c>
      <c r="J7" s="2">
        <v>222174</v>
      </c>
      <c r="K7" s="2">
        <v>4</v>
      </c>
      <c r="L7" s="2">
        <v>2018</v>
      </c>
    </row>
    <row r="8" spans="1:12" x14ac:dyDescent="0.3">
      <c r="A8" s="1" t="s">
        <v>42</v>
      </c>
      <c r="B8" s="2">
        <v>33</v>
      </c>
      <c r="C8" s="1" t="s">
        <v>43</v>
      </c>
      <c r="D8" s="1" t="s">
        <v>142</v>
      </c>
      <c r="E8" s="1" t="s">
        <v>195</v>
      </c>
      <c r="F8" s="1" t="s">
        <v>196</v>
      </c>
      <c r="G8" s="1" t="s">
        <v>17</v>
      </c>
      <c r="H8" s="2">
        <v>0</v>
      </c>
      <c r="I8" s="2">
        <v>162795</v>
      </c>
      <c r="J8" s="2">
        <v>11927627</v>
      </c>
      <c r="K8" s="2">
        <v>5</v>
      </c>
      <c r="L8" s="2">
        <v>2021</v>
      </c>
    </row>
    <row r="9" spans="1:12" x14ac:dyDescent="0.3">
      <c r="A9" s="1" t="s">
        <v>42</v>
      </c>
      <c r="B9" s="2">
        <v>33</v>
      </c>
      <c r="C9" s="1" t="s">
        <v>176</v>
      </c>
      <c r="D9" s="1" t="s">
        <v>90</v>
      </c>
      <c r="E9" s="1" t="s">
        <v>116</v>
      </c>
      <c r="F9" s="1" t="s">
        <v>117</v>
      </c>
      <c r="G9" s="1" t="s">
        <v>17</v>
      </c>
      <c r="H9" s="2">
        <v>0</v>
      </c>
      <c r="I9" s="2">
        <v>667272</v>
      </c>
      <c r="J9" s="2">
        <v>50485741</v>
      </c>
      <c r="K9" s="2">
        <v>5</v>
      </c>
      <c r="L9" s="2">
        <v>2020</v>
      </c>
    </row>
    <row r="10" spans="1:12" x14ac:dyDescent="0.3">
      <c r="A10" s="1" t="s">
        <v>42</v>
      </c>
      <c r="B10" s="2">
        <v>33</v>
      </c>
      <c r="C10" s="1" t="s">
        <v>513</v>
      </c>
      <c r="D10" s="1" t="s">
        <v>30</v>
      </c>
      <c r="E10" s="1" t="s">
        <v>92</v>
      </c>
      <c r="F10" s="1" t="s">
        <v>93</v>
      </c>
      <c r="G10" s="1" t="s">
        <v>17</v>
      </c>
      <c r="H10" s="2">
        <v>0</v>
      </c>
      <c r="I10" s="2">
        <v>6261</v>
      </c>
      <c r="J10" s="2">
        <v>457739</v>
      </c>
      <c r="K10" s="2">
        <v>1</v>
      </c>
      <c r="L10" s="2">
        <v>2021</v>
      </c>
    </row>
    <row r="11" spans="1:12" x14ac:dyDescent="0.3">
      <c r="A11" s="1" t="s">
        <v>42</v>
      </c>
      <c r="B11" s="2">
        <v>33</v>
      </c>
      <c r="C11" s="1" t="s">
        <v>43</v>
      </c>
      <c r="D11" s="1" t="s">
        <v>142</v>
      </c>
      <c r="E11" s="1" t="s">
        <v>121</v>
      </c>
      <c r="F11" s="1" t="s">
        <v>122</v>
      </c>
      <c r="G11" s="1" t="s">
        <v>17</v>
      </c>
      <c r="H11" s="2">
        <v>0</v>
      </c>
      <c r="I11" s="2">
        <v>9506</v>
      </c>
      <c r="J11" s="2">
        <v>676735</v>
      </c>
      <c r="K11" s="2">
        <v>12</v>
      </c>
      <c r="L11" s="2">
        <v>2019</v>
      </c>
    </row>
    <row r="12" spans="1:12" x14ac:dyDescent="0.3">
      <c r="A12" s="1" t="s">
        <v>42</v>
      </c>
      <c r="B12" s="2">
        <v>33</v>
      </c>
      <c r="C12" s="1" t="s">
        <v>43</v>
      </c>
      <c r="D12" s="1" t="s">
        <v>515</v>
      </c>
      <c r="E12" s="1" t="s">
        <v>99</v>
      </c>
      <c r="F12" s="1" t="s">
        <v>549</v>
      </c>
      <c r="G12" s="1" t="s">
        <v>17</v>
      </c>
      <c r="H12" s="2">
        <v>0</v>
      </c>
      <c r="I12" s="2">
        <v>88653</v>
      </c>
      <c r="J12" s="2">
        <v>6323928</v>
      </c>
      <c r="K12" s="2">
        <v>9</v>
      </c>
      <c r="L12" s="2">
        <v>2019</v>
      </c>
    </row>
    <row r="13" spans="1:12" x14ac:dyDescent="0.3">
      <c r="A13" s="1" t="s">
        <v>42</v>
      </c>
      <c r="B13" s="2">
        <v>33</v>
      </c>
      <c r="C13" s="1" t="s">
        <v>550</v>
      </c>
      <c r="D13" s="1" t="s">
        <v>142</v>
      </c>
      <c r="E13" s="1" t="s">
        <v>56</v>
      </c>
      <c r="F13" s="1" t="s">
        <v>57</v>
      </c>
      <c r="G13" s="1" t="s">
        <v>17</v>
      </c>
      <c r="H13" s="2">
        <v>0</v>
      </c>
      <c r="I13" s="2">
        <v>6278</v>
      </c>
      <c r="J13" s="2">
        <v>485415</v>
      </c>
      <c r="K13" s="2">
        <v>5</v>
      </c>
      <c r="L13" s="2">
        <v>2022</v>
      </c>
    </row>
    <row r="14" spans="1:12" x14ac:dyDescent="0.3">
      <c r="A14" s="1" t="s">
        <v>42</v>
      </c>
      <c r="B14" s="2">
        <v>33</v>
      </c>
      <c r="C14" s="1" t="s">
        <v>223</v>
      </c>
      <c r="D14" s="1" t="s">
        <v>251</v>
      </c>
      <c r="E14" s="1" t="s">
        <v>21</v>
      </c>
      <c r="F14" s="1" t="s">
        <v>22</v>
      </c>
      <c r="G14" s="1" t="s">
        <v>17</v>
      </c>
      <c r="H14" s="2">
        <v>0</v>
      </c>
      <c r="I14" s="2">
        <v>195627</v>
      </c>
      <c r="J14" s="2">
        <v>15125768</v>
      </c>
      <c r="K14" s="2">
        <v>5</v>
      </c>
      <c r="L14" s="2">
        <v>2022</v>
      </c>
    </row>
    <row r="15" spans="1:12" x14ac:dyDescent="0.3">
      <c r="A15" s="1" t="s">
        <v>42</v>
      </c>
      <c r="B15" s="2">
        <v>33</v>
      </c>
      <c r="C15" s="1" t="s">
        <v>67</v>
      </c>
      <c r="D15" s="1" t="s">
        <v>30</v>
      </c>
      <c r="E15" s="1" t="s">
        <v>187</v>
      </c>
      <c r="F15" s="1" t="s">
        <v>188</v>
      </c>
      <c r="G15" s="1" t="s">
        <v>17</v>
      </c>
      <c r="H15" s="2">
        <v>0</v>
      </c>
      <c r="I15" s="2">
        <v>514</v>
      </c>
      <c r="J15" s="2">
        <v>38278</v>
      </c>
      <c r="K15" s="2">
        <v>1</v>
      </c>
      <c r="L15" s="2">
        <v>2022</v>
      </c>
    </row>
    <row r="16" spans="1:12" x14ac:dyDescent="0.3">
      <c r="A16" s="1" t="s">
        <v>42</v>
      </c>
      <c r="B16" s="2">
        <v>33</v>
      </c>
      <c r="C16" s="1" t="s">
        <v>54</v>
      </c>
      <c r="D16" s="1" t="s">
        <v>350</v>
      </c>
      <c r="E16" s="1" t="s">
        <v>150</v>
      </c>
      <c r="F16" s="1" t="s">
        <v>151</v>
      </c>
      <c r="G16" s="1" t="s">
        <v>17</v>
      </c>
      <c r="H16" s="2">
        <v>0</v>
      </c>
      <c r="I16" s="2">
        <v>15310</v>
      </c>
      <c r="J16" s="2">
        <v>1259835</v>
      </c>
      <c r="K16" s="2">
        <v>3</v>
      </c>
      <c r="L16" s="2">
        <v>2023</v>
      </c>
    </row>
    <row r="17" spans="1:12" x14ac:dyDescent="0.3">
      <c r="A17" s="1" t="s">
        <v>42</v>
      </c>
      <c r="B17" s="2">
        <v>33</v>
      </c>
      <c r="C17" s="1" t="s">
        <v>176</v>
      </c>
      <c r="D17" s="1" t="s">
        <v>44</v>
      </c>
      <c r="E17" s="1" t="s">
        <v>282</v>
      </c>
      <c r="F17" s="1" t="s">
        <v>283</v>
      </c>
      <c r="G17" s="1" t="s">
        <v>17</v>
      </c>
      <c r="H17" s="2">
        <v>0</v>
      </c>
      <c r="I17" s="2">
        <v>403523</v>
      </c>
      <c r="J17" s="2">
        <v>30073344</v>
      </c>
      <c r="K17" s="2">
        <v>7</v>
      </c>
      <c r="L17" s="2">
        <v>2021</v>
      </c>
    </row>
    <row r="18" spans="1:12" x14ac:dyDescent="0.3">
      <c r="A18" s="1" t="s">
        <v>42</v>
      </c>
      <c r="B18" s="2">
        <v>33</v>
      </c>
      <c r="C18" s="1" t="s">
        <v>43</v>
      </c>
      <c r="D18" s="1" t="s">
        <v>167</v>
      </c>
      <c r="E18" s="1" t="s">
        <v>335</v>
      </c>
      <c r="F18" s="1" t="s">
        <v>507</v>
      </c>
      <c r="G18" s="1" t="s">
        <v>17</v>
      </c>
      <c r="H18" s="2">
        <v>0</v>
      </c>
      <c r="I18" s="2">
        <v>726692</v>
      </c>
      <c r="J18" s="2">
        <v>53507975</v>
      </c>
      <c r="K18" s="2">
        <v>10</v>
      </c>
      <c r="L18" s="2">
        <v>2018</v>
      </c>
    </row>
    <row r="19" spans="1:12" x14ac:dyDescent="0.3">
      <c r="A19" s="1" t="s">
        <v>42</v>
      </c>
      <c r="B19" s="2">
        <v>33</v>
      </c>
      <c r="C19" s="1" t="s">
        <v>111</v>
      </c>
      <c r="D19" s="1" t="s">
        <v>142</v>
      </c>
      <c r="E19" s="1" t="s">
        <v>56</v>
      </c>
      <c r="F19" s="1" t="s">
        <v>57</v>
      </c>
      <c r="G19" s="1" t="s">
        <v>17</v>
      </c>
      <c r="H19" s="2">
        <v>0</v>
      </c>
      <c r="I19" s="2">
        <v>13570520</v>
      </c>
      <c r="J19" s="2">
        <v>1127995318</v>
      </c>
      <c r="K19" s="2">
        <v>1</v>
      </c>
      <c r="L19" s="2">
        <v>2024</v>
      </c>
    </row>
    <row r="20" spans="1:12" x14ac:dyDescent="0.3">
      <c r="A20" s="1" t="s">
        <v>42</v>
      </c>
      <c r="B20" s="2">
        <v>33</v>
      </c>
      <c r="C20" s="1" t="s">
        <v>111</v>
      </c>
      <c r="D20" s="1" t="s">
        <v>263</v>
      </c>
      <c r="E20" s="1" t="s">
        <v>160</v>
      </c>
      <c r="F20" s="1" t="s">
        <v>161</v>
      </c>
      <c r="G20" s="1" t="s">
        <v>17</v>
      </c>
      <c r="H20" s="2">
        <v>0</v>
      </c>
      <c r="I20" s="2">
        <v>46035</v>
      </c>
      <c r="J20" s="2">
        <v>2929529</v>
      </c>
      <c r="K20" s="2">
        <v>1</v>
      </c>
      <c r="L20" s="2">
        <v>2018</v>
      </c>
    </row>
    <row r="21" spans="1:12" x14ac:dyDescent="0.3">
      <c r="A21" s="1" t="s">
        <v>42</v>
      </c>
      <c r="B21" s="2">
        <v>33</v>
      </c>
      <c r="C21" s="1" t="s">
        <v>43</v>
      </c>
      <c r="D21" s="1" t="s">
        <v>108</v>
      </c>
      <c r="E21" s="1" t="s">
        <v>202</v>
      </c>
      <c r="F21" s="1" t="s">
        <v>203</v>
      </c>
      <c r="G21" s="1" t="s">
        <v>17</v>
      </c>
      <c r="H21" s="2">
        <v>0</v>
      </c>
      <c r="I21" s="2">
        <v>3165</v>
      </c>
      <c r="J21" s="2">
        <v>260428</v>
      </c>
      <c r="K21" s="2">
        <v>3</v>
      </c>
      <c r="L21" s="2">
        <v>2023</v>
      </c>
    </row>
    <row r="22" spans="1:12" x14ac:dyDescent="0.3">
      <c r="A22" s="1" t="s">
        <v>42</v>
      </c>
      <c r="B22" s="2">
        <v>33</v>
      </c>
      <c r="C22" s="1" t="s">
        <v>192</v>
      </c>
      <c r="D22" s="1" t="s">
        <v>105</v>
      </c>
      <c r="E22" s="1" t="s">
        <v>36</v>
      </c>
      <c r="F22" s="1" t="s">
        <v>37</v>
      </c>
      <c r="G22" s="1" t="s">
        <v>17</v>
      </c>
      <c r="H22" s="2">
        <v>0</v>
      </c>
      <c r="I22" s="2">
        <v>698</v>
      </c>
      <c r="J22" s="2">
        <v>52386</v>
      </c>
      <c r="K22" s="2">
        <v>2</v>
      </c>
      <c r="L22" s="2">
        <v>2022</v>
      </c>
    </row>
    <row r="23" spans="1:12" x14ac:dyDescent="0.3">
      <c r="A23" s="1" t="s">
        <v>42</v>
      </c>
      <c r="B23" s="2">
        <v>33</v>
      </c>
      <c r="C23" s="1" t="s">
        <v>111</v>
      </c>
      <c r="D23" s="1" t="s">
        <v>224</v>
      </c>
      <c r="E23" s="1" t="s">
        <v>121</v>
      </c>
      <c r="F23" s="1" t="s">
        <v>122</v>
      </c>
      <c r="G23" s="1" t="s">
        <v>17</v>
      </c>
      <c r="H23" s="2">
        <v>0</v>
      </c>
      <c r="I23" s="2">
        <v>2584</v>
      </c>
      <c r="J23" s="2">
        <v>180281</v>
      </c>
      <c r="K23" s="2">
        <v>5</v>
      </c>
      <c r="L23" s="2">
        <v>2019</v>
      </c>
    </row>
    <row r="24" spans="1:12" x14ac:dyDescent="0.3">
      <c r="A24" s="1" t="s">
        <v>42</v>
      </c>
      <c r="B24" s="2">
        <v>33</v>
      </c>
      <c r="C24" s="1" t="s">
        <v>238</v>
      </c>
      <c r="D24" s="1" t="s">
        <v>118</v>
      </c>
      <c r="E24" s="1" t="s">
        <v>127</v>
      </c>
      <c r="F24" s="1" t="s">
        <v>128</v>
      </c>
      <c r="G24" s="1" t="s">
        <v>17</v>
      </c>
      <c r="H24" s="2">
        <v>0</v>
      </c>
      <c r="I24" s="2">
        <v>597835</v>
      </c>
      <c r="J24" s="2">
        <v>42285547</v>
      </c>
      <c r="K24" s="2">
        <v>12</v>
      </c>
      <c r="L24" s="2">
        <v>2018</v>
      </c>
    </row>
    <row r="25" spans="1:12" x14ac:dyDescent="0.3">
      <c r="A25" s="1" t="s">
        <v>42</v>
      </c>
      <c r="B25" s="2">
        <v>33</v>
      </c>
      <c r="C25" s="1" t="s">
        <v>43</v>
      </c>
      <c r="D25" s="1" t="s">
        <v>241</v>
      </c>
      <c r="E25" s="1" t="s">
        <v>92</v>
      </c>
      <c r="F25" s="1" t="s">
        <v>93</v>
      </c>
      <c r="G25" s="1" t="s">
        <v>17</v>
      </c>
      <c r="H25" s="2">
        <v>0</v>
      </c>
      <c r="I25" s="2">
        <v>1782</v>
      </c>
      <c r="J25" s="2">
        <v>130497</v>
      </c>
      <c r="K25" s="2">
        <v>5</v>
      </c>
      <c r="L25" s="2">
        <v>2021</v>
      </c>
    </row>
    <row r="26" spans="1:12" x14ac:dyDescent="0.3">
      <c r="A26" s="1" t="s">
        <v>42</v>
      </c>
      <c r="B26" s="2">
        <v>33</v>
      </c>
      <c r="C26" s="1" t="s">
        <v>67</v>
      </c>
      <c r="D26" s="1" t="s">
        <v>251</v>
      </c>
      <c r="E26" s="1" t="s">
        <v>99</v>
      </c>
      <c r="F26" s="1" t="s">
        <v>549</v>
      </c>
      <c r="G26" s="1" t="s">
        <v>17</v>
      </c>
      <c r="H26" s="2">
        <v>0</v>
      </c>
      <c r="I26" s="2">
        <v>331076</v>
      </c>
      <c r="J26" s="2">
        <v>24655975</v>
      </c>
      <c r="K26" s="2">
        <v>4</v>
      </c>
      <c r="L26" s="2">
        <v>2021</v>
      </c>
    </row>
    <row r="27" spans="1:12" x14ac:dyDescent="0.3">
      <c r="A27" s="1" t="s">
        <v>42</v>
      </c>
      <c r="B27" s="2">
        <v>33</v>
      </c>
      <c r="C27" s="1" t="s">
        <v>111</v>
      </c>
      <c r="D27" s="1" t="s">
        <v>551</v>
      </c>
      <c r="E27" s="1" t="s">
        <v>150</v>
      </c>
      <c r="F27" s="1" t="s">
        <v>151</v>
      </c>
      <c r="G27" s="1" t="s">
        <v>17</v>
      </c>
      <c r="H27" s="2">
        <v>0</v>
      </c>
      <c r="I27" s="2">
        <v>11938</v>
      </c>
      <c r="J27" s="2">
        <v>844380</v>
      </c>
      <c r="K27" s="2">
        <v>12</v>
      </c>
      <c r="L27" s="2">
        <v>2018</v>
      </c>
    </row>
    <row r="28" spans="1:12" x14ac:dyDescent="0.3">
      <c r="A28" s="1" t="s">
        <v>42</v>
      </c>
      <c r="B28" s="2">
        <v>33</v>
      </c>
      <c r="C28" s="1" t="s">
        <v>223</v>
      </c>
      <c r="D28" s="1" t="s">
        <v>131</v>
      </c>
      <c r="E28" s="1" t="s">
        <v>36</v>
      </c>
      <c r="F28" s="1" t="s">
        <v>37</v>
      </c>
      <c r="G28" s="1" t="s">
        <v>17</v>
      </c>
      <c r="H28" s="2">
        <v>0</v>
      </c>
      <c r="I28" s="2">
        <v>46500</v>
      </c>
      <c r="J28" s="2">
        <v>3887120</v>
      </c>
      <c r="K28" s="2">
        <v>7</v>
      </c>
      <c r="L28" s="2">
        <v>2024</v>
      </c>
    </row>
    <row r="29" spans="1:12" x14ac:dyDescent="0.3">
      <c r="A29" s="1" t="s">
        <v>42</v>
      </c>
      <c r="B29" s="2">
        <v>33</v>
      </c>
      <c r="C29" s="1" t="s">
        <v>176</v>
      </c>
      <c r="D29" s="1" t="s">
        <v>242</v>
      </c>
      <c r="E29" s="1" t="s">
        <v>195</v>
      </c>
      <c r="F29" s="1" t="s">
        <v>196</v>
      </c>
      <c r="G29" s="1" t="s">
        <v>17</v>
      </c>
      <c r="H29" s="2">
        <v>0</v>
      </c>
      <c r="I29" s="2">
        <v>387</v>
      </c>
      <c r="J29" s="2">
        <v>32270</v>
      </c>
      <c r="K29" s="2">
        <v>6</v>
      </c>
      <c r="L29" s="2">
        <v>2024</v>
      </c>
    </row>
    <row r="30" spans="1:12" x14ac:dyDescent="0.3">
      <c r="A30" s="1" t="s">
        <v>42</v>
      </c>
      <c r="B30" s="2">
        <v>33</v>
      </c>
      <c r="C30" s="1" t="s">
        <v>255</v>
      </c>
      <c r="D30" s="1" t="s">
        <v>35</v>
      </c>
      <c r="E30" s="1" t="s">
        <v>36</v>
      </c>
      <c r="F30" s="1" t="s">
        <v>37</v>
      </c>
      <c r="G30" s="1" t="s">
        <v>17</v>
      </c>
      <c r="H30" s="2">
        <v>0</v>
      </c>
      <c r="I30" s="2">
        <v>638319</v>
      </c>
      <c r="J30" s="2">
        <v>47517444</v>
      </c>
      <c r="K30" s="2">
        <v>1</v>
      </c>
      <c r="L30" s="2">
        <v>2022</v>
      </c>
    </row>
    <row r="31" spans="1:12" x14ac:dyDescent="0.3">
      <c r="A31" s="1" t="s">
        <v>42</v>
      </c>
      <c r="B31" s="2">
        <v>33</v>
      </c>
      <c r="C31" s="1" t="s">
        <v>43</v>
      </c>
      <c r="D31" s="1" t="s">
        <v>90</v>
      </c>
      <c r="E31" s="1" t="s">
        <v>157</v>
      </c>
      <c r="F31" s="1" t="s">
        <v>158</v>
      </c>
      <c r="G31" s="1" t="s">
        <v>17</v>
      </c>
      <c r="H31" s="2">
        <v>0</v>
      </c>
      <c r="I31" s="2">
        <v>12029248</v>
      </c>
      <c r="J31" s="2">
        <v>835159380</v>
      </c>
      <c r="K31" s="2">
        <v>4</v>
      </c>
      <c r="L31" s="2">
        <v>2019</v>
      </c>
    </row>
    <row r="32" spans="1:12" x14ac:dyDescent="0.3">
      <c r="A32" s="1" t="s">
        <v>42</v>
      </c>
      <c r="B32" s="2">
        <v>33</v>
      </c>
      <c r="C32" s="1" t="s">
        <v>111</v>
      </c>
      <c r="D32" s="1" t="s">
        <v>153</v>
      </c>
      <c r="E32" s="1" t="s">
        <v>26</v>
      </c>
      <c r="F32" s="1" t="s">
        <v>27</v>
      </c>
      <c r="G32" s="1" t="s">
        <v>17</v>
      </c>
      <c r="H32" s="2">
        <v>0</v>
      </c>
      <c r="I32" s="2">
        <v>3659566</v>
      </c>
      <c r="J32" s="2">
        <v>268911104</v>
      </c>
      <c r="K32" s="2">
        <v>9</v>
      </c>
      <c r="L32" s="2">
        <v>2020</v>
      </c>
    </row>
    <row r="33" spans="1:12" x14ac:dyDescent="0.3">
      <c r="A33" s="1" t="s">
        <v>42</v>
      </c>
      <c r="B33" s="2">
        <v>33</v>
      </c>
      <c r="C33" s="1" t="s">
        <v>238</v>
      </c>
      <c r="D33" s="1" t="s">
        <v>193</v>
      </c>
      <c r="E33" s="1" t="s">
        <v>92</v>
      </c>
      <c r="F33" s="1" t="s">
        <v>93</v>
      </c>
      <c r="G33" s="1" t="s">
        <v>17</v>
      </c>
      <c r="H33" s="2">
        <v>0</v>
      </c>
      <c r="I33" s="2">
        <v>6744960</v>
      </c>
      <c r="J33" s="2">
        <v>470616779</v>
      </c>
      <c r="K33" s="2">
        <v>5</v>
      </c>
      <c r="L33" s="2">
        <v>2019</v>
      </c>
    </row>
    <row r="34" spans="1:12" x14ac:dyDescent="0.3">
      <c r="A34" s="1" t="s">
        <v>42</v>
      </c>
      <c r="B34" s="2">
        <v>33</v>
      </c>
      <c r="C34" s="1" t="s">
        <v>55</v>
      </c>
      <c r="D34" s="1" t="s">
        <v>90</v>
      </c>
      <c r="E34" s="1" t="s">
        <v>338</v>
      </c>
      <c r="F34" s="1" t="s">
        <v>339</v>
      </c>
      <c r="G34" s="1" t="s">
        <v>17</v>
      </c>
      <c r="H34" s="2">
        <v>0</v>
      </c>
      <c r="I34" s="2">
        <v>181066</v>
      </c>
      <c r="J34" s="2">
        <v>13805306</v>
      </c>
      <c r="K34" s="2">
        <v>3</v>
      </c>
      <c r="L34" s="2">
        <v>2022</v>
      </c>
    </row>
    <row r="35" spans="1:12" x14ac:dyDescent="0.3">
      <c r="A35" s="1" t="s">
        <v>42</v>
      </c>
      <c r="B35" s="2">
        <v>33</v>
      </c>
      <c r="C35" s="1" t="s">
        <v>255</v>
      </c>
      <c r="D35" s="1" t="s">
        <v>193</v>
      </c>
      <c r="E35" s="1" t="s">
        <v>52</v>
      </c>
      <c r="F35" s="1" t="s">
        <v>53</v>
      </c>
      <c r="G35" s="1" t="s">
        <v>17</v>
      </c>
      <c r="H35" s="2">
        <v>0</v>
      </c>
      <c r="I35" s="2">
        <v>182370</v>
      </c>
      <c r="J35" s="2">
        <v>15179636</v>
      </c>
      <c r="K35" s="2">
        <v>10</v>
      </c>
      <c r="L35" s="2">
        <v>2023</v>
      </c>
    </row>
    <row r="36" spans="1:12" x14ac:dyDescent="0.3">
      <c r="A36" s="1" t="s">
        <v>42</v>
      </c>
      <c r="B36" s="2">
        <v>33</v>
      </c>
      <c r="C36" s="1" t="s">
        <v>552</v>
      </c>
      <c r="D36" s="1" t="s">
        <v>190</v>
      </c>
      <c r="E36" s="1" t="s">
        <v>31</v>
      </c>
      <c r="F36" s="1" t="s">
        <v>32</v>
      </c>
      <c r="G36" s="1" t="s">
        <v>17</v>
      </c>
      <c r="H36" s="2">
        <v>0</v>
      </c>
      <c r="I36" s="2">
        <v>11551</v>
      </c>
      <c r="J36" s="2">
        <v>919496</v>
      </c>
      <c r="K36" s="2">
        <v>7</v>
      </c>
      <c r="L36" s="2">
        <v>2022</v>
      </c>
    </row>
    <row r="37" spans="1:12" x14ac:dyDescent="0.3">
      <c r="A37" s="1" t="s">
        <v>42</v>
      </c>
      <c r="B37" s="2">
        <v>33</v>
      </c>
      <c r="C37" s="1" t="s">
        <v>111</v>
      </c>
      <c r="D37" s="1" t="s">
        <v>35</v>
      </c>
      <c r="E37" s="1" t="s">
        <v>77</v>
      </c>
      <c r="F37" s="1" t="s">
        <v>78</v>
      </c>
      <c r="G37" s="1" t="s">
        <v>17</v>
      </c>
      <c r="H37" s="2">
        <v>0</v>
      </c>
      <c r="I37" s="2">
        <v>93056</v>
      </c>
      <c r="J37" s="2">
        <v>6627629</v>
      </c>
      <c r="K37" s="2">
        <v>2</v>
      </c>
      <c r="L37" s="2">
        <v>2019</v>
      </c>
    </row>
    <row r="38" spans="1:12" x14ac:dyDescent="0.3">
      <c r="A38" s="1" t="s">
        <v>42</v>
      </c>
      <c r="B38" s="2">
        <v>33</v>
      </c>
      <c r="C38" s="1" t="s">
        <v>67</v>
      </c>
      <c r="D38" s="1" t="s">
        <v>25</v>
      </c>
      <c r="E38" s="1" t="s">
        <v>86</v>
      </c>
      <c r="F38" s="1" t="s">
        <v>548</v>
      </c>
      <c r="G38" s="1" t="s">
        <v>17</v>
      </c>
      <c r="H38" s="2">
        <v>0</v>
      </c>
      <c r="I38" s="2">
        <v>133527</v>
      </c>
      <c r="J38" s="2">
        <v>8682115</v>
      </c>
      <c r="K38" s="2">
        <v>3</v>
      </c>
      <c r="L38" s="2">
        <v>2018</v>
      </c>
    </row>
    <row r="39" spans="1:12" x14ac:dyDescent="0.3">
      <c r="A39" s="1" t="s">
        <v>42</v>
      </c>
      <c r="B39" s="2">
        <v>33</v>
      </c>
      <c r="C39" s="1" t="s">
        <v>512</v>
      </c>
      <c r="D39" s="1" t="s">
        <v>35</v>
      </c>
      <c r="E39" s="1" t="s">
        <v>227</v>
      </c>
      <c r="F39" s="1" t="s">
        <v>228</v>
      </c>
      <c r="G39" s="1" t="s">
        <v>17</v>
      </c>
      <c r="H39" s="2">
        <v>0</v>
      </c>
      <c r="I39" s="2">
        <v>1812</v>
      </c>
      <c r="J39" s="2">
        <v>129234</v>
      </c>
      <c r="K39" s="2">
        <v>9</v>
      </c>
      <c r="L39" s="2">
        <v>2019</v>
      </c>
    </row>
    <row r="40" spans="1:12" x14ac:dyDescent="0.3">
      <c r="A40" s="1" t="s">
        <v>42</v>
      </c>
      <c r="B40" s="2">
        <v>33</v>
      </c>
      <c r="C40" s="1" t="s">
        <v>513</v>
      </c>
      <c r="D40" s="1" t="s">
        <v>263</v>
      </c>
      <c r="E40" s="1" t="s">
        <v>21</v>
      </c>
      <c r="F40" s="1" t="s">
        <v>22</v>
      </c>
      <c r="G40" s="1" t="s">
        <v>17</v>
      </c>
      <c r="H40" s="2">
        <v>0</v>
      </c>
      <c r="I40" s="2">
        <v>52</v>
      </c>
      <c r="J40" s="2">
        <v>4304</v>
      </c>
      <c r="K40" s="2">
        <v>11</v>
      </c>
      <c r="L40" s="2">
        <v>2023</v>
      </c>
    </row>
    <row r="41" spans="1:12" x14ac:dyDescent="0.3">
      <c r="A41" s="1" t="s">
        <v>42</v>
      </c>
      <c r="B41" s="2">
        <v>33</v>
      </c>
      <c r="C41" s="1" t="s">
        <v>54</v>
      </c>
      <c r="D41" s="1" t="s">
        <v>294</v>
      </c>
      <c r="E41" s="1" t="s">
        <v>258</v>
      </c>
      <c r="F41" s="1" t="s">
        <v>259</v>
      </c>
      <c r="G41" s="1" t="s">
        <v>17</v>
      </c>
      <c r="H41" s="2">
        <v>0</v>
      </c>
      <c r="I41" s="2">
        <v>911</v>
      </c>
      <c r="J41" s="2">
        <v>74893</v>
      </c>
      <c r="K41" s="2">
        <v>6</v>
      </c>
      <c r="L41" s="2">
        <v>2023</v>
      </c>
    </row>
    <row r="42" spans="1:12" x14ac:dyDescent="0.3">
      <c r="A42" s="1" t="s">
        <v>42</v>
      </c>
      <c r="B42" s="2">
        <v>33</v>
      </c>
      <c r="C42" s="1" t="s">
        <v>111</v>
      </c>
      <c r="D42" s="1" t="s">
        <v>237</v>
      </c>
      <c r="E42" s="1" t="s">
        <v>135</v>
      </c>
      <c r="F42" s="1" t="s">
        <v>136</v>
      </c>
      <c r="G42" s="1" t="s">
        <v>17</v>
      </c>
      <c r="H42" s="2">
        <v>0</v>
      </c>
      <c r="I42" s="2">
        <v>8309</v>
      </c>
      <c r="J42" s="2">
        <v>691598</v>
      </c>
      <c r="K42" s="2">
        <v>10</v>
      </c>
      <c r="L42" s="2">
        <v>2023</v>
      </c>
    </row>
    <row r="43" spans="1:12" x14ac:dyDescent="0.3">
      <c r="A43" s="1" t="s">
        <v>42</v>
      </c>
      <c r="B43" s="2">
        <v>33</v>
      </c>
      <c r="C43" s="1" t="s">
        <v>352</v>
      </c>
      <c r="D43" s="1" t="s">
        <v>320</v>
      </c>
      <c r="E43" s="1" t="s">
        <v>335</v>
      </c>
      <c r="F43" s="1" t="s">
        <v>507</v>
      </c>
      <c r="G43" s="1" t="s">
        <v>17</v>
      </c>
      <c r="H43" s="2">
        <v>0</v>
      </c>
      <c r="I43" s="2">
        <v>1588</v>
      </c>
      <c r="J43" s="2">
        <v>113256</v>
      </c>
      <c r="K43" s="2">
        <v>1</v>
      </c>
      <c r="L43" s="2">
        <v>2020</v>
      </c>
    </row>
    <row r="44" spans="1:12" x14ac:dyDescent="0.3">
      <c r="A44" s="1" t="s">
        <v>42</v>
      </c>
      <c r="B44" s="2">
        <v>33</v>
      </c>
      <c r="C44" s="1" t="s">
        <v>111</v>
      </c>
      <c r="D44" s="1" t="s">
        <v>551</v>
      </c>
      <c r="E44" s="1" t="s">
        <v>36</v>
      </c>
      <c r="F44" s="1" t="s">
        <v>37</v>
      </c>
      <c r="G44" s="1" t="s">
        <v>17</v>
      </c>
      <c r="H44" s="2">
        <v>0</v>
      </c>
      <c r="I44" s="2">
        <v>302810</v>
      </c>
      <c r="J44" s="2">
        <v>25254202</v>
      </c>
      <c r="K44" s="2">
        <v>5</v>
      </c>
      <c r="L44" s="2">
        <v>2024</v>
      </c>
    </row>
    <row r="45" spans="1:12" x14ac:dyDescent="0.3">
      <c r="A45" s="1" t="s">
        <v>42</v>
      </c>
      <c r="B45" s="2">
        <v>33</v>
      </c>
      <c r="C45" s="1" t="s">
        <v>238</v>
      </c>
      <c r="D45" s="1" t="s">
        <v>153</v>
      </c>
      <c r="E45" s="1" t="s">
        <v>21</v>
      </c>
      <c r="F45" s="1" t="s">
        <v>22</v>
      </c>
      <c r="G45" s="1" t="s">
        <v>17</v>
      </c>
      <c r="H45" s="2">
        <v>0</v>
      </c>
      <c r="I45" s="2">
        <v>5978558</v>
      </c>
      <c r="J45" s="2">
        <v>434978943</v>
      </c>
      <c r="K45" s="2">
        <v>2</v>
      </c>
      <c r="L45" s="2">
        <v>2021</v>
      </c>
    </row>
    <row r="46" spans="1:12" x14ac:dyDescent="0.3">
      <c r="A46" s="1" t="s">
        <v>42</v>
      </c>
      <c r="B46" s="2">
        <v>33</v>
      </c>
      <c r="C46" s="1" t="s">
        <v>43</v>
      </c>
      <c r="D46" s="1" t="s">
        <v>118</v>
      </c>
      <c r="E46" s="1" t="s">
        <v>31</v>
      </c>
      <c r="F46" s="1" t="s">
        <v>32</v>
      </c>
      <c r="G46" s="1" t="s">
        <v>17</v>
      </c>
      <c r="H46" s="2">
        <v>0</v>
      </c>
      <c r="I46" s="2">
        <v>1206</v>
      </c>
      <c r="J46" s="2">
        <v>98956</v>
      </c>
      <c r="K46" s="2">
        <v>4</v>
      </c>
      <c r="L46" s="2">
        <v>2023</v>
      </c>
    </row>
    <row r="47" spans="1:12" x14ac:dyDescent="0.3">
      <c r="A47" s="1" t="s">
        <v>42</v>
      </c>
      <c r="B47" s="2">
        <v>33</v>
      </c>
      <c r="C47" s="1" t="s">
        <v>352</v>
      </c>
      <c r="D47" s="1" t="s">
        <v>90</v>
      </c>
      <c r="E47" s="1" t="s">
        <v>123</v>
      </c>
      <c r="F47" s="1" t="s">
        <v>553</v>
      </c>
      <c r="G47" s="1" t="s">
        <v>17</v>
      </c>
      <c r="H47" s="2">
        <v>0</v>
      </c>
      <c r="I47" s="2">
        <v>494</v>
      </c>
      <c r="J47" s="2">
        <v>33517</v>
      </c>
      <c r="K47" s="2">
        <v>6</v>
      </c>
      <c r="L47" s="2">
        <v>2018</v>
      </c>
    </row>
    <row r="48" spans="1:12" x14ac:dyDescent="0.3">
      <c r="A48" s="1" t="s">
        <v>42</v>
      </c>
      <c r="B48" s="2">
        <v>33</v>
      </c>
      <c r="C48" s="1" t="s">
        <v>152</v>
      </c>
      <c r="D48" s="1" t="s">
        <v>251</v>
      </c>
      <c r="E48" s="1" t="s">
        <v>86</v>
      </c>
      <c r="F48" s="1" t="s">
        <v>548</v>
      </c>
      <c r="G48" s="1" t="s">
        <v>17</v>
      </c>
      <c r="H48" s="2">
        <v>0</v>
      </c>
      <c r="I48" s="2">
        <v>521768</v>
      </c>
      <c r="J48" s="2">
        <v>39129175</v>
      </c>
      <c r="K48" s="2">
        <v>7</v>
      </c>
      <c r="L48" s="2">
        <v>2020</v>
      </c>
    </row>
    <row r="49" spans="1:12" x14ac:dyDescent="0.3">
      <c r="A49" s="1" t="s">
        <v>42</v>
      </c>
      <c r="B49" s="2">
        <v>33</v>
      </c>
      <c r="C49" s="1" t="s">
        <v>264</v>
      </c>
      <c r="D49" s="1" t="s">
        <v>265</v>
      </c>
      <c r="E49" s="1" t="s">
        <v>140</v>
      </c>
      <c r="F49" s="1" t="s">
        <v>554</v>
      </c>
      <c r="G49" s="1" t="s">
        <v>17</v>
      </c>
      <c r="H49" s="2">
        <v>0</v>
      </c>
      <c r="I49" s="2">
        <v>6540</v>
      </c>
      <c r="J49" s="2">
        <v>481087</v>
      </c>
      <c r="K49" s="2">
        <v>9</v>
      </c>
      <c r="L49" s="2">
        <v>2021</v>
      </c>
    </row>
    <row r="50" spans="1:12" x14ac:dyDescent="0.3">
      <c r="A50" s="1" t="s">
        <v>42</v>
      </c>
      <c r="B50" s="2">
        <v>33</v>
      </c>
      <c r="C50" s="1" t="s">
        <v>54</v>
      </c>
      <c r="D50" s="1" t="s">
        <v>142</v>
      </c>
      <c r="E50" s="1" t="s">
        <v>282</v>
      </c>
      <c r="F50" s="1" t="s">
        <v>283</v>
      </c>
      <c r="G50" s="1" t="s">
        <v>17</v>
      </c>
      <c r="H50" s="2">
        <v>0</v>
      </c>
      <c r="I50" s="2">
        <v>301972</v>
      </c>
      <c r="J50" s="2">
        <v>21806999</v>
      </c>
      <c r="K50" s="2">
        <v>9</v>
      </c>
      <c r="L50" s="2">
        <v>2018</v>
      </c>
    </row>
    <row r="51" spans="1:12" x14ac:dyDescent="0.3">
      <c r="A51" s="1" t="s">
        <v>42</v>
      </c>
      <c r="B51" s="2">
        <v>33</v>
      </c>
      <c r="C51" s="1" t="s">
        <v>352</v>
      </c>
      <c r="D51" s="1" t="s">
        <v>118</v>
      </c>
      <c r="E51" s="1" t="s">
        <v>157</v>
      </c>
      <c r="F51" s="1" t="s">
        <v>158</v>
      </c>
      <c r="G51" s="1" t="s">
        <v>17</v>
      </c>
      <c r="H51" s="2">
        <v>0</v>
      </c>
      <c r="I51" s="2">
        <v>58253</v>
      </c>
      <c r="J51" s="2">
        <v>4044373</v>
      </c>
      <c r="K51" s="2">
        <v>4</v>
      </c>
      <c r="L51" s="2">
        <v>2019</v>
      </c>
    </row>
    <row r="52" spans="1:12" x14ac:dyDescent="0.3">
      <c r="A52" s="1" t="s">
        <v>42</v>
      </c>
      <c r="B52" s="2">
        <v>33</v>
      </c>
      <c r="C52" s="1" t="s">
        <v>43</v>
      </c>
      <c r="D52" s="1" t="s">
        <v>90</v>
      </c>
      <c r="E52" s="1" t="s">
        <v>15</v>
      </c>
      <c r="F52" s="1" t="s">
        <v>359</v>
      </c>
      <c r="G52" s="1" t="s">
        <v>17</v>
      </c>
      <c r="H52" s="2">
        <v>0</v>
      </c>
      <c r="I52" s="2">
        <v>16762421</v>
      </c>
      <c r="J52" s="2">
        <v>1195391973</v>
      </c>
      <c r="K52" s="2">
        <v>1</v>
      </c>
      <c r="L52" s="2">
        <v>2020</v>
      </c>
    </row>
    <row r="53" spans="1:12" x14ac:dyDescent="0.3">
      <c r="A53" s="1" t="s">
        <v>42</v>
      </c>
      <c r="B53" s="2">
        <v>33</v>
      </c>
      <c r="C53" s="1" t="s">
        <v>43</v>
      </c>
      <c r="D53" s="1" t="s">
        <v>241</v>
      </c>
      <c r="E53" s="1" t="s">
        <v>92</v>
      </c>
      <c r="F53" s="1" t="s">
        <v>93</v>
      </c>
      <c r="G53" s="1" t="s">
        <v>17</v>
      </c>
      <c r="H53" s="2">
        <v>0</v>
      </c>
      <c r="I53" s="2">
        <v>7340241</v>
      </c>
      <c r="J53" s="2">
        <v>481786245</v>
      </c>
      <c r="K53" s="2">
        <v>4</v>
      </c>
      <c r="L53" s="2">
        <v>2018</v>
      </c>
    </row>
    <row r="54" spans="1:12" x14ac:dyDescent="0.3">
      <c r="A54" s="1" t="s">
        <v>42</v>
      </c>
      <c r="B54" s="2">
        <v>33</v>
      </c>
      <c r="C54" s="1" t="s">
        <v>43</v>
      </c>
      <c r="D54" s="1" t="s">
        <v>167</v>
      </c>
      <c r="E54" s="1" t="s">
        <v>56</v>
      </c>
      <c r="F54" s="1" t="s">
        <v>57</v>
      </c>
      <c r="G54" s="1" t="s">
        <v>17</v>
      </c>
      <c r="H54" s="2">
        <v>0</v>
      </c>
      <c r="I54" s="2">
        <v>10857908</v>
      </c>
      <c r="J54" s="2">
        <v>901180238</v>
      </c>
      <c r="K54" s="2">
        <v>3</v>
      </c>
      <c r="L54" s="2">
        <v>2024</v>
      </c>
    </row>
    <row r="55" spans="1:12" x14ac:dyDescent="0.3">
      <c r="A55" s="1" t="s">
        <v>42</v>
      </c>
      <c r="B55" s="2">
        <v>33</v>
      </c>
      <c r="C55" s="1" t="s">
        <v>255</v>
      </c>
      <c r="D55" s="1" t="s">
        <v>35</v>
      </c>
      <c r="E55" s="1" t="s">
        <v>227</v>
      </c>
      <c r="F55" s="1" t="s">
        <v>228</v>
      </c>
      <c r="G55" s="1" t="s">
        <v>17</v>
      </c>
      <c r="H55" s="2">
        <v>0</v>
      </c>
      <c r="I55" s="2">
        <v>16605</v>
      </c>
      <c r="J55" s="2">
        <v>1237029</v>
      </c>
      <c r="K55" s="2">
        <v>11</v>
      </c>
      <c r="L55" s="2">
        <v>2021</v>
      </c>
    </row>
    <row r="56" spans="1:12" x14ac:dyDescent="0.3">
      <c r="A56" s="1" t="s">
        <v>42</v>
      </c>
      <c r="B56" s="2">
        <v>33</v>
      </c>
      <c r="C56" s="1" t="s">
        <v>111</v>
      </c>
      <c r="D56" s="1" t="s">
        <v>30</v>
      </c>
      <c r="E56" s="1" t="s">
        <v>99</v>
      </c>
      <c r="F56" s="1" t="s">
        <v>549</v>
      </c>
      <c r="G56" s="1" t="s">
        <v>17</v>
      </c>
      <c r="H56" s="2">
        <v>0</v>
      </c>
      <c r="I56" s="2">
        <v>451940</v>
      </c>
      <c r="J56" s="2">
        <v>31967004</v>
      </c>
      <c r="K56" s="2">
        <v>1</v>
      </c>
      <c r="L56" s="2">
        <v>2019</v>
      </c>
    </row>
    <row r="57" spans="1:12" x14ac:dyDescent="0.3">
      <c r="A57" s="1" t="s">
        <v>42</v>
      </c>
      <c r="B57" s="2">
        <v>33</v>
      </c>
      <c r="C57" s="1" t="s">
        <v>55</v>
      </c>
      <c r="D57" s="1" t="s">
        <v>90</v>
      </c>
      <c r="E57" s="1" t="s">
        <v>52</v>
      </c>
      <c r="F57" s="1" t="s">
        <v>53</v>
      </c>
      <c r="G57" s="1" t="s">
        <v>17</v>
      </c>
      <c r="H57" s="2">
        <v>0</v>
      </c>
      <c r="I57" s="2">
        <v>21904</v>
      </c>
      <c r="J57" s="2">
        <v>1437717</v>
      </c>
      <c r="K57" s="2">
        <v>4</v>
      </c>
      <c r="L57" s="2">
        <v>2018</v>
      </c>
    </row>
    <row r="58" spans="1:12" x14ac:dyDescent="0.3">
      <c r="A58" s="1" t="s">
        <v>42</v>
      </c>
      <c r="B58" s="2">
        <v>33</v>
      </c>
      <c r="C58" s="1" t="s">
        <v>513</v>
      </c>
      <c r="D58" s="1" t="s">
        <v>14</v>
      </c>
      <c r="E58" s="1" t="s">
        <v>195</v>
      </c>
      <c r="F58" s="1" t="s">
        <v>196</v>
      </c>
      <c r="G58" s="1" t="s">
        <v>17</v>
      </c>
      <c r="H58" s="2">
        <v>0</v>
      </c>
      <c r="I58" s="2">
        <v>160909</v>
      </c>
      <c r="J58" s="2">
        <v>12068679</v>
      </c>
      <c r="K58" s="2">
        <v>2</v>
      </c>
      <c r="L58" s="2">
        <v>2022</v>
      </c>
    </row>
    <row r="59" spans="1:12" x14ac:dyDescent="0.3">
      <c r="A59" s="1" t="s">
        <v>42</v>
      </c>
      <c r="B59" s="2">
        <v>33</v>
      </c>
      <c r="C59" s="1" t="s">
        <v>223</v>
      </c>
      <c r="D59" s="1" t="s">
        <v>263</v>
      </c>
      <c r="E59" s="1" t="s">
        <v>31</v>
      </c>
      <c r="F59" s="1" t="s">
        <v>32</v>
      </c>
      <c r="G59" s="1" t="s">
        <v>17</v>
      </c>
      <c r="H59" s="2">
        <v>0</v>
      </c>
      <c r="I59" s="2">
        <v>1067</v>
      </c>
      <c r="J59" s="2">
        <v>87774</v>
      </c>
      <c r="K59" s="2">
        <v>6</v>
      </c>
      <c r="L59" s="2">
        <v>2023</v>
      </c>
    </row>
    <row r="60" spans="1:12" x14ac:dyDescent="0.3">
      <c r="A60" s="1" t="s">
        <v>42</v>
      </c>
      <c r="B60" s="2">
        <v>33</v>
      </c>
      <c r="C60" s="1" t="s">
        <v>555</v>
      </c>
      <c r="D60" s="1" t="s">
        <v>153</v>
      </c>
      <c r="E60" s="1" t="s">
        <v>258</v>
      </c>
      <c r="F60" s="1" t="s">
        <v>259</v>
      </c>
      <c r="G60" s="1" t="s">
        <v>17</v>
      </c>
      <c r="H60" s="2">
        <v>0</v>
      </c>
      <c r="I60" s="2">
        <v>7253</v>
      </c>
      <c r="J60" s="2">
        <v>543373</v>
      </c>
      <c r="K60" s="2">
        <v>10</v>
      </c>
      <c r="L60" s="2">
        <v>2021</v>
      </c>
    </row>
    <row r="61" spans="1:12" x14ac:dyDescent="0.3">
      <c r="A61" s="1" t="s">
        <v>42</v>
      </c>
      <c r="B61" s="2">
        <v>33</v>
      </c>
      <c r="C61" s="1" t="s">
        <v>43</v>
      </c>
      <c r="D61" s="1" t="s">
        <v>515</v>
      </c>
      <c r="E61" s="1" t="s">
        <v>77</v>
      </c>
      <c r="F61" s="1" t="s">
        <v>78</v>
      </c>
      <c r="G61" s="1" t="s">
        <v>17</v>
      </c>
      <c r="H61" s="2">
        <v>0</v>
      </c>
      <c r="I61" s="2">
        <v>29874</v>
      </c>
      <c r="J61" s="2">
        <v>2479481</v>
      </c>
      <c r="K61" s="2">
        <v>3</v>
      </c>
      <c r="L61" s="2">
        <v>2024</v>
      </c>
    </row>
    <row r="62" spans="1:12" x14ac:dyDescent="0.3">
      <c r="A62" s="1" t="s">
        <v>42</v>
      </c>
      <c r="B62" s="2">
        <v>33</v>
      </c>
      <c r="C62" s="1" t="s">
        <v>238</v>
      </c>
      <c r="D62" s="1" t="s">
        <v>90</v>
      </c>
      <c r="E62" s="1" t="s">
        <v>99</v>
      </c>
      <c r="F62" s="1" t="s">
        <v>549</v>
      </c>
      <c r="G62" s="1" t="s">
        <v>17</v>
      </c>
      <c r="H62" s="2">
        <v>0</v>
      </c>
      <c r="I62" s="2">
        <v>811169</v>
      </c>
      <c r="J62" s="2">
        <v>57624929</v>
      </c>
      <c r="K62" s="2">
        <v>10</v>
      </c>
      <c r="L62" s="2">
        <v>2019</v>
      </c>
    </row>
    <row r="63" spans="1:12" x14ac:dyDescent="0.3">
      <c r="A63" s="1" t="s">
        <v>42</v>
      </c>
      <c r="B63" s="2">
        <v>33</v>
      </c>
      <c r="C63" s="1" t="s">
        <v>43</v>
      </c>
      <c r="D63" s="1" t="s">
        <v>263</v>
      </c>
      <c r="E63" s="1" t="s">
        <v>116</v>
      </c>
      <c r="F63" s="1" t="s">
        <v>117</v>
      </c>
      <c r="G63" s="1" t="s">
        <v>17</v>
      </c>
      <c r="H63" s="2">
        <v>0</v>
      </c>
      <c r="I63" s="2">
        <v>30226</v>
      </c>
      <c r="J63" s="2">
        <v>2160840</v>
      </c>
      <c r="K63" s="2">
        <v>2</v>
      </c>
      <c r="L63" s="2">
        <v>2020</v>
      </c>
    </row>
    <row r="64" spans="1:12" x14ac:dyDescent="0.3">
      <c r="A64" s="1" t="s">
        <v>42</v>
      </c>
      <c r="B64" s="2">
        <v>33</v>
      </c>
      <c r="C64" s="1" t="s">
        <v>67</v>
      </c>
      <c r="D64" s="1" t="s">
        <v>237</v>
      </c>
      <c r="E64" s="1" t="s">
        <v>121</v>
      </c>
      <c r="F64" s="1" t="s">
        <v>122</v>
      </c>
      <c r="G64" s="1" t="s">
        <v>17</v>
      </c>
      <c r="H64" s="2">
        <v>0</v>
      </c>
      <c r="I64" s="2">
        <v>114</v>
      </c>
      <c r="J64" s="2">
        <v>8181</v>
      </c>
      <c r="K64" s="2">
        <v>11</v>
      </c>
      <c r="L64" s="2">
        <v>2018</v>
      </c>
    </row>
    <row r="65" spans="1:12" x14ac:dyDescent="0.3">
      <c r="A65" s="1" t="s">
        <v>42</v>
      </c>
      <c r="B65" s="2">
        <v>33</v>
      </c>
      <c r="C65" s="1" t="s">
        <v>111</v>
      </c>
      <c r="D65" s="1" t="s">
        <v>350</v>
      </c>
      <c r="E65" s="1" t="s">
        <v>36</v>
      </c>
      <c r="F65" s="1" t="s">
        <v>37</v>
      </c>
      <c r="G65" s="1" t="s">
        <v>17</v>
      </c>
      <c r="H65" s="2">
        <v>0</v>
      </c>
      <c r="I65" s="2">
        <v>114858</v>
      </c>
      <c r="J65" s="2">
        <v>9488300</v>
      </c>
      <c r="K65" s="2">
        <v>2</v>
      </c>
      <c r="L65" s="2">
        <v>2023</v>
      </c>
    </row>
    <row r="66" spans="1:12" x14ac:dyDescent="0.3">
      <c r="A66" s="1" t="s">
        <v>42</v>
      </c>
      <c r="B66" s="2">
        <v>33</v>
      </c>
      <c r="C66" s="1" t="s">
        <v>43</v>
      </c>
      <c r="D66" s="1" t="s">
        <v>190</v>
      </c>
      <c r="E66" s="1" t="s">
        <v>99</v>
      </c>
      <c r="F66" s="1" t="s">
        <v>549</v>
      </c>
      <c r="G66" s="1" t="s">
        <v>17</v>
      </c>
      <c r="H66" s="2">
        <v>0</v>
      </c>
      <c r="I66" s="2">
        <v>12527</v>
      </c>
      <c r="J66" s="2">
        <v>955042</v>
      </c>
      <c r="K66" s="2">
        <v>4</v>
      </c>
      <c r="L66" s="2">
        <v>2020</v>
      </c>
    </row>
    <row r="67" spans="1:12" x14ac:dyDescent="0.3">
      <c r="A67" s="1" t="s">
        <v>42</v>
      </c>
      <c r="B67" s="2">
        <v>33</v>
      </c>
      <c r="C67" s="1" t="s">
        <v>513</v>
      </c>
      <c r="D67" s="1" t="s">
        <v>90</v>
      </c>
      <c r="E67" s="1" t="s">
        <v>121</v>
      </c>
      <c r="F67" s="1" t="s">
        <v>122</v>
      </c>
      <c r="G67" s="1" t="s">
        <v>17</v>
      </c>
      <c r="H67" s="2">
        <v>0</v>
      </c>
      <c r="I67" s="2">
        <v>23</v>
      </c>
      <c r="J67" s="2">
        <v>1655</v>
      </c>
      <c r="K67" s="2">
        <v>9</v>
      </c>
      <c r="L67" s="2">
        <v>2019</v>
      </c>
    </row>
    <row r="68" spans="1:12" x14ac:dyDescent="0.3">
      <c r="A68" s="1" t="s">
        <v>42</v>
      </c>
      <c r="B68" s="2">
        <v>33</v>
      </c>
      <c r="C68" s="1" t="s">
        <v>223</v>
      </c>
      <c r="D68" s="1" t="s">
        <v>90</v>
      </c>
      <c r="E68" s="1" t="s">
        <v>127</v>
      </c>
      <c r="F68" s="1" t="s">
        <v>128</v>
      </c>
      <c r="G68" s="1" t="s">
        <v>17</v>
      </c>
      <c r="H68" s="2">
        <v>0</v>
      </c>
      <c r="I68" s="2">
        <v>1072015</v>
      </c>
      <c r="J68" s="2">
        <v>80404446</v>
      </c>
      <c r="K68" s="2">
        <v>2</v>
      </c>
      <c r="L68" s="2">
        <v>2022</v>
      </c>
    </row>
    <row r="69" spans="1:12" x14ac:dyDescent="0.3">
      <c r="A69" s="1" t="s">
        <v>58</v>
      </c>
      <c r="B69" s="2">
        <v>27</v>
      </c>
      <c r="C69" s="1" t="s">
        <v>556</v>
      </c>
      <c r="D69" s="1" t="s">
        <v>265</v>
      </c>
      <c r="E69" s="1" t="s">
        <v>26</v>
      </c>
      <c r="F69" s="1" t="s">
        <v>27</v>
      </c>
      <c r="G69" s="1" t="s">
        <v>17</v>
      </c>
      <c r="H69" s="2">
        <v>0</v>
      </c>
      <c r="I69" s="2">
        <v>229108</v>
      </c>
      <c r="J69" s="2">
        <v>16852802</v>
      </c>
      <c r="K69" s="2">
        <v>6</v>
      </c>
      <c r="L69" s="2">
        <v>2021</v>
      </c>
    </row>
    <row r="70" spans="1:12" x14ac:dyDescent="0.3">
      <c r="A70" s="1" t="s">
        <v>18</v>
      </c>
      <c r="B70" s="2">
        <v>6</v>
      </c>
      <c r="C70" s="1" t="s">
        <v>166</v>
      </c>
      <c r="D70" s="1" t="s">
        <v>90</v>
      </c>
      <c r="E70" s="1" t="s">
        <v>56</v>
      </c>
      <c r="F70" s="1" t="s">
        <v>57</v>
      </c>
      <c r="G70" s="1" t="s">
        <v>17</v>
      </c>
      <c r="H70" s="2">
        <v>0</v>
      </c>
      <c r="I70" s="2">
        <v>5140</v>
      </c>
      <c r="J70" s="2">
        <v>357108</v>
      </c>
      <c r="K70" s="2">
        <v>3</v>
      </c>
      <c r="L70" s="2">
        <v>2019</v>
      </c>
    </row>
    <row r="71" spans="1:12" x14ac:dyDescent="0.3">
      <c r="A71" s="1" t="s">
        <v>23</v>
      </c>
      <c r="B71" s="2">
        <v>24</v>
      </c>
      <c r="C71" s="1" t="s">
        <v>218</v>
      </c>
      <c r="D71" s="1" t="s">
        <v>25</v>
      </c>
      <c r="E71" s="1" t="s">
        <v>86</v>
      </c>
      <c r="F71" s="1" t="s">
        <v>548</v>
      </c>
      <c r="G71" s="1" t="s">
        <v>17</v>
      </c>
      <c r="H71" s="2">
        <v>0</v>
      </c>
      <c r="I71" s="2">
        <v>33974</v>
      </c>
      <c r="J71" s="2">
        <v>2590324</v>
      </c>
      <c r="K71" s="2">
        <v>3</v>
      </c>
      <c r="L71" s="2">
        <v>2022</v>
      </c>
    </row>
    <row r="72" spans="1:12" x14ac:dyDescent="0.3">
      <c r="A72" s="1" t="s">
        <v>47</v>
      </c>
      <c r="B72" s="2">
        <v>7</v>
      </c>
      <c r="C72" s="1" t="s">
        <v>509</v>
      </c>
      <c r="D72" s="1" t="s">
        <v>35</v>
      </c>
      <c r="E72" s="1" t="s">
        <v>278</v>
      </c>
      <c r="F72" s="1" t="s">
        <v>279</v>
      </c>
      <c r="G72" s="1" t="s">
        <v>17</v>
      </c>
      <c r="H72" s="2">
        <v>0</v>
      </c>
      <c r="I72" s="2">
        <v>5362</v>
      </c>
      <c r="J72" s="2">
        <v>374138</v>
      </c>
      <c r="K72" s="2">
        <v>5</v>
      </c>
      <c r="L72" s="2">
        <v>2019</v>
      </c>
    </row>
    <row r="73" spans="1:12" x14ac:dyDescent="0.3">
      <c r="A73" s="1" t="s">
        <v>58</v>
      </c>
      <c r="B73" s="2">
        <v>27</v>
      </c>
      <c r="C73" s="1" t="s">
        <v>59</v>
      </c>
      <c r="D73" s="1" t="s">
        <v>251</v>
      </c>
      <c r="E73" s="1" t="s">
        <v>195</v>
      </c>
      <c r="F73" s="1" t="s">
        <v>196</v>
      </c>
      <c r="G73" s="1" t="s">
        <v>17</v>
      </c>
      <c r="H73" s="2">
        <v>0</v>
      </c>
      <c r="I73" s="2">
        <v>792299</v>
      </c>
      <c r="J73" s="2">
        <v>58804240</v>
      </c>
      <c r="K73" s="2">
        <v>11</v>
      </c>
      <c r="L73" s="2">
        <v>2020</v>
      </c>
    </row>
    <row r="74" spans="1:12" x14ac:dyDescent="0.3">
      <c r="A74" s="1" t="s">
        <v>18</v>
      </c>
      <c r="B74" s="2">
        <v>6</v>
      </c>
      <c r="C74" s="1" t="s">
        <v>254</v>
      </c>
      <c r="D74" s="1" t="s">
        <v>20</v>
      </c>
      <c r="E74" s="1" t="s">
        <v>146</v>
      </c>
      <c r="F74" s="1" t="s">
        <v>147</v>
      </c>
      <c r="G74" s="1" t="s">
        <v>17</v>
      </c>
      <c r="H74" s="2">
        <v>0</v>
      </c>
      <c r="I74" s="2">
        <v>225215</v>
      </c>
      <c r="J74" s="2">
        <v>17916947</v>
      </c>
      <c r="K74" s="2">
        <v>8</v>
      </c>
      <c r="L74" s="2">
        <v>2022</v>
      </c>
    </row>
    <row r="75" spans="1:12" x14ac:dyDescent="0.3">
      <c r="A75" s="1" t="s">
        <v>58</v>
      </c>
      <c r="B75" s="2">
        <v>27</v>
      </c>
      <c r="C75" s="1" t="s">
        <v>125</v>
      </c>
      <c r="D75" s="1" t="s">
        <v>557</v>
      </c>
      <c r="E75" s="1" t="s">
        <v>26</v>
      </c>
      <c r="F75" s="1" t="s">
        <v>27</v>
      </c>
      <c r="G75" s="1" t="s">
        <v>17</v>
      </c>
      <c r="H75" s="2">
        <v>0</v>
      </c>
      <c r="I75" s="2">
        <v>2217</v>
      </c>
      <c r="J75" s="2">
        <v>184871</v>
      </c>
      <c r="K75" s="2">
        <v>5</v>
      </c>
      <c r="L75" s="2">
        <v>2024</v>
      </c>
    </row>
    <row r="76" spans="1:12" x14ac:dyDescent="0.3">
      <c r="A76" s="1" t="s">
        <v>79</v>
      </c>
      <c r="B76" s="2">
        <v>9</v>
      </c>
      <c r="C76" s="1" t="s">
        <v>351</v>
      </c>
      <c r="D76" s="1" t="s">
        <v>35</v>
      </c>
      <c r="E76" s="1" t="s">
        <v>282</v>
      </c>
      <c r="F76" s="1" t="s">
        <v>283</v>
      </c>
      <c r="G76" s="1" t="s">
        <v>17</v>
      </c>
      <c r="H76" s="2">
        <v>0</v>
      </c>
      <c r="I76" s="2">
        <v>157321</v>
      </c>
      <c r="J76" s="2">
        <v>11127802</v>
      </c>
      <c r="K76" s="2">
        <v>1</v>
      </c>
      <c r="L76" s="2">
        <v>2019</v>
      </c>
    </row>
    <row r="77" spans="1:12" x14ac:dyDescent="0.3">
      <c r="A77" s="1" t="s">
        <v>63</v>
      </c>
      <c r="B77" s="2">
        <v>23</v>
      </c>
      <c r="C77" s="1" t="s">
        <v>119</v>
      </c>
      <c r="D77" s="1" t="s">
        <v>90</v>
      </c>
      <c r="E77" s="1" t="s">
        <v>99</v>
      </c>
      <c r="F77" s="1" t="s">
        <v>549</v>
      </c>
      <c r="G77" s="1" t="s">
        <v>17</v>
      </c>
      <c r="H77" s="2">
        <v>0</v>
      </c>
      <c r="I77" s="2">
        <v>24845</v>
      </c>
      <c r="J77" s="2">
        <v>1855244</v>
      </c>
      <c r="K77" s="2">
        <v>8</v>
      </c>
      <c r="L77" s="2">
        <v>2020</v>
      </c>
    </row>
    <row r="78" spans="1:12" x14ac:dyDescent="0.3">
      <c r="A78" s="1" t="s">
        <v>58</v>
      </c>
      <c r="B78" s="2">
        <v>27</v>
      </c>
      <c r="C78" s="1" t="s">
        <v>59</v>
      </c>
      <c r="D78" s="1" t="s">
        <v>68</v>
      </c>
      <c r="E78" s="1" t="s">
        <v>86</v>
      </c>
      <c r="F78" s="1" t="s">
        <v>548</v>
      </c>
      <c r="G78" s="1" t="s">
        <v>17</v>
      </c>
      <c r="H78" s="2">
        <v>0</v>
      </c>
      <c r="I78" s="2">
        <v>997953</v>
      </c>
      <c r="J78" s="2">
        <v>67654333</v>
      </c>
      <c r="K78" s="2">
        <v>6</v>
      </c>
      <c r="L78" s="2">
        <v>2018</v>
      </c>
    </row>
    <row r="79" spans="1:12" x14ac:dyDescent="0.3">
      <c r="A79" s="1" t="s">
        <v>73</v>
      </c>
      <c r="B79" s="2">
        <v>3</v>
      </c>
      <c r="C79" s="1" t="s">
        <v>181</v>
      </c>
      <c r="D79" s="1" t="s">
        <v>265</v>
      </c>
      <c r="E79" s="1" t="s">
        <v>146</v>
      </c>
      <c r="F79" s="1" t="s">
        <v>147</v>
      </c>
      <c r="G79" s="1" t="s">
        <v>17</v>
      </c>
      <c r="H79" s="2">
        <v>0</v>
      </c>
      <c r="I79" s="2">
        <v>59196</v>
      </c>
      <c r="J79" s="2">
        <v>4936907</v>
      </c>
      <c r="K79" s="2">
        <v>5</v>
      </c>
      <c r="L79" s="2">
        <v>2024</v>
      </c>
    </row>
    <row r="80" spans="1:12" x14ac:dyDescent="0.3">
      <c r="A80" s="1" t="s">
        <v>47</v>
      </c>
      <c r="B80" s="2">
        <v>7</v>
      </c>
      <c r="C80" s="1" t="s">
        <v>51</v>
      </c>
      <c r="D80" s="1" t="s">
        <v>193</v>
      </c>
      <c r="E80" s="1" t="s">
        <v>106</v>
      </c>
      <c r="F80" s="1" t="s">
        <v>558</v>
      </c>
      <c r="G80" s="1" t="s">
        <v>17</v>
      </c>
      <c r="H80" s="2">
        <v>0</v>
      </c>
      <c r="I80" s="2">
        <v>279182</v>
      </c>
      <c r="J80" s="2">
        <v>20546004</v>
      </c>
      <c r="K80" s="2">
        <v>12</v>
      </c>
      <c r="L80" s="2">
        <v>2020</v>
      </c>
    </row>
    <row r="81" spans="1:12" x14ac:dyDescent="0.3">
      <c r="A81" s="1" t="s">
        <v>58</v>
      </c>
      <c r="B81" s="2">
        <v>27</v>
      </c>
      <c r="C81" s="1" t="s">
        <v>559</v>
      </c>
      <c r="D81" s="1" t="s">
        <v>35</v>
      </c>
      <c r="E81" s="1" t="s">
        <v>86</v>
      </c>
      <c r="F81" s="1" t="s">
        <v>548</v>
      </c>
      <c r="G81" s="1" t="s">
        <v>17</v>
      </c>
      <c r="H81" s="2">
        <v>0</v>
      </c>
      <c r="I81" s="2">
        <v>1081374</v>
      </c>
      <c r="J81" s="2">
        <v>80532313</v>
      </c>
      <c r="K81" s="2">
        <v>4</v>
      </c>
      <c r="L81" s="2">
        <v>2021</v>
      </c>
    </row>
    <row r="82" spans="1:12" x14ac:dyDescent="0.3">
      <c r="A82" s="1" t="s">
        <v>58</v>
      </c>
      <c r="B82" s="2">
        <v>27</v>
      </c>
      <c r="C82" s="1" t="s">
        <v>59</v>
      </c>
      <c r="D82" s="1" t="s">
        <v>25</v>
      </c>
      <c r="E82" s="1" t="s">
        <v>77</v>
      </c>
      <c r="F82" s="1" t="s">
        <v>78</v>
      </c>
      <c r="G82" s="1" t="s">
        <v>17</v>
      </c>
      <c r="H82" s="2">
        <v>0</v>
      </c>
      <c r="I82" s="2">
        <v>444417</v>
      </c>
      <c r="J82" s="2">
        <v>31933212</v>
      </c>
      <c r="K82" s="2">
        <v>11</v>
      </c>
      <c r="L82" s="2">
        <v>2018</v>
      </c>
    </row>
    <row r="83" spans="1:12" x14ac:dyDescent="0.3">
      <c r="A83" s="1" t="s">
        <v>47</v>
      </c>
      <c r="B83" s="2">
        <v>7</v>
      </c>
      <c r="C83" s="1" t="s">
        <v>509</v>
      </c>
      <c r="D83" s="1" t="s">
        <v>251</v>
      </c>
      <c r="E83" s="1" t="s">
        <v>146</v>
      </c>
      <c r="F83" s="1" t="s">
        <v>147</v>
      </c>
      <c r="G83" s="1" t="s">
        <v>17</v>
      </c>
      <c r="H83" s="2">
        <v>0</v>
      </c>
      <c r="I83" s="2">
        <v>54027</v>
      </c>
      <c r="J83" s="2">
        <v>3846350</v>
      </c>
      <c r="K83" s="2">
        <v>12</v>
      </c>
      <c r="L83" s="2">
        <v>2019</v>
      </c>
    </row>
    <row r="84" spans="1:12" x14ac:dyDescent="0.3">
      <c r="A84" s="1" t="s">
        <v>79</v>
      </c>
      <c r="B84" s="2">
        <v>9</v>
      </c>
      <c r="C84" s="1" t="s">
        <v>292</v>
      </c>
      <c r="D84" s="1" t="s">
        <v>190</v>
      </c>
      <c r="E84" s="1" t="s">
        <v>146</v>
      </c>
      <c r="F84" s="1" t="s">
        <v>147</v>
      </c>
      <c r="G84" s="1" t="s">
        <v>17</v>
      </c>
      <c r="H84" s="2">
        <v>0</v>
      </c>
      <c r="I84" s="2">
        <v>309613</v>
      </c>
      <c r="J84" s="2">
        <v>23336293</v>
      </c>
      <c r="K84" s="2">
        <v>12</v>
      </c>
      <c r="L84" s="2">
        <v>2021</v>
      </c>
    </row>
    <row r="85" spans="1:12" x14ac:dyDescent="0.3">
      <c r="A85" s="1" t="s">
        <v>132</v>
      </c>
      <c r="B85" s="2">
        <v>19</v>
      </c>
      <c r="C85" s="1" t="s">
        <v>209</v>
      </c>
      <c r="D85" s="1" t="s">
        <v>68</v>
      </c>
      <c r="E85" s="1" t="s">
        <v>26</v>
      </c>
      <c r="F85" s="1" t="s">
        <v>27</v>
      </c>
      <c r="G85" s="1" t="s">
        <v>17</v>
      </c>
      <c r="H85" s="2">
        <v>0</v>
      </c>
      <c r="I85" s="2">
        <v>42136</v>
      </c>
      <c r="J85" s="2">
        <v>3137957</v>
      </c>
      <c r="K85" s="2">
        <v>4</v>
      </c>
      <c r="L85" s="2">
        <v>2021</v>
      </c>
    </row>
    <row r="86" spans="1:12" x14ac:dyDescent="0.3">
      <c r="A86" s="1" t="s">
        <v>47</v>
      </c>
      <c r="B86" s="2">
        <v>7</v>
      </c>
      <c r="C86" s="1" t="s">
        <v>51</v>
      </c>
      <c r="D86" s="1" t="s">
        <v>153</v>
      </c>
      <c r="E86" s="1" t="s">
        <v>65</v>
      </c>
      <c r="F86" s="1" t="s">
        <v>66</v>
      </c>
      <c r="G86" s="1" t="s">
        <v>17</v>
      </c>
      <c r="H86" s="2">
        <v>0</v>
      </c>
      <c r="I86" s="2">
        <v>117932</v>
      </c>
      <c r="J86" s="2">
        <v>9672824</v>
      </c>
      <c r="K86" s="2">
        <v>4</v>
      </c>
      <c r="L86" s="2">
        <v>2023</v>
      </c>
    </row>
    <row r="87" spans="1:12" x14ac:dyDescent="0.3">
      <c r="A87" s="1" t="s">
        <v>23</v>
      </c>
      <c r="B87" s="2">
        <v>24</v>
      </c>
      <c r="C87" s="1" t="s">
        <v>24</v>
      </c>
      <c r="D87" s="1" t="s">
        <v>44</v>
      </c>
      <c r="E87" s="1" t="s">
        <v>86</v>
      </c>
      <c r="F87" s="1" t="s">
        <v>548</v>
      </c>
      <c r="G87" s="1" t="s">
        <v>17</v>
      </c>
      <c r="H87" s="2">
        <v>0</v>
      </c>
      <c r="I87" s="2">
        <v>367002</v>
      </c>
      <c r="J87" s="2">
        <v>25480000</v>
      </c>
      <c r="K87" s="2">
        <v>4</v>
      </c>
      <c r="L87" s="2">
        <v>2019</v>
      </c>
    </row>
    <row r="88" spans="1:12" x14ac:dyDescent="0.3">
      <c r="A88" s="1" t="s">
        <v>58</v>
      </c>
      <c r="B88" s="2">
        <v>27</v>
      </c>
      <c r="C88" s="1" t="s">
        <v>125</v>
      </c>
      <c r="D88" s="1" t="s">
        <v>294</v>
      </c>
      <c r="E88" s="1" t="s">
        <v>31</v>
      </c>
      <c r="F88" s="1" t="s">
        <v>32</v>
      </c>
      <c r="G88" s="1" t="s">
        <v>17</v>
      </c>
      <c r="H88" s="2">
        <v>0</v>
      </c>
      <c r="I88" s="2">
        <v>49612</v>
      </c>
      <c r="J88" s="2">
        <v>4058757</v>
      </c>
      <c r="K88" s="2">
        <v>11</v>
      </c>
      <c r="L88" s="2">
        <v>2022</v>
      </c>
    </row>
    <row r="89" spans="1:12" x14ac:dyDescent="0.3">
      <c r="A89" s="1" t="s">
        <v>47</v>
      </c>
      <c r="B89" s="2">
        <v>7</v>
      </c>
      <c r="C89" s="1" t="s">
        <v>51</v>
      </c>
      <c r="D89" s="1" t="s">
        <v>30</v>
      </c>
      <c r="E89" s="1" t="s">
        <v>15</v>
      </c>
      <c r="F89" s="1" t="s">
        <v>359</v>
      </c>
      <c r="G89" s="1" t="s">
        <v>17</v>
      </c>
      <c r="H89" s="2">
        <v>0</v>
      </c>
      <c r="I89" s="2">
        <v>8647</v>
      </c>
      <c r="J89" s="2">
        <v>635413</v>
      </c>
      <c r="K89" s="2">
        <v>9</v>
      </c>
      <c r="L89" s="2">
        <v>2020</v>
      </c>
    </row>
    <row r="90" spans="1:12" x14ac:dyDescent="0.3">
      <c r="A90" s="1" t="s">
        <v>58</v>
      </c>
      <c r="B90" s="2">
        <v>27</v>
      </c>
      <c r="C90" s="1" t="s">
        <v>59</v>
      </c>
      <c r="D90" s="1" t="s">
        <v>412</v>
      </c>
      <c r="E90" s="1" t="s">
        <v>146</v>
      </c>
      <c r="F90" s="1" t="s">
        <v>147</v>
      </c>
      <c r="G90" s="1" t="s">
        <v>17</v>
      </c>
      <c r="H90" s="2">
        <v>0</v>
      </c>
      <c r="I90" s="2">
        <v>7052</v>
      </c>
      <c r="J90" s="2">
        <v>525548</v>
      </c>
      <c r="K90" s="2">
        <v>7</v>
      </c>
      <c r="L90" s="2">
        <v>2021</v>
      </c>
    </row>
    <row r="91" spans="1:12" x14ac:dyDescent="0.3">
      <c r="A91" s="1" t="s">
        <v>23</v>
      </c>
      <c r="B91" s="2">
        <v>24</v>
      </c>
      <c r="C91" s="1" t="s">
        <v>24</v>
      </c>
      <c r="D91" s="1" t="s">
        <v>515</v>
      </c>
      <c r="E91" s="1" t="s">
        <v>160</v>
      </c>
      <c r="F91" s="1" t="s">
        <v>161</v>
      </c>
      <c r="G91" s="1" t="s">
        <v>17</v>
      </c>
      <c r="H91" s="2">
        <v>0</v>
      </c>
      <c r="I91" s="2">
        <v>61814</v>
      </c>
      <c r="J91" s="2">
        <v>4298921</v>
      </c>
      <c r="K91" s="2">
        <v>8</v>
      </c>
      <c r="L91" s="2">
        <v>2018</v>
      </c>
    </row>
    <row r="92" spans="1:12" x14ac:dyDescent="0.3">
      <c r="A92" s="1" t="s">
        <v>58</v>
      </c>
      <c r="B92" s="2">
        <v>27</v>
      </c>
      <c r="C92" s="1" t="s">
        <v>290</v>
      </c>
      <c r="D92" s="1" t="s">
        <v>193</v>
      </c>
      <c r="E92" s="1" t="s">
        <v>52</v>
      </c>
      <c r="F92" s="1" t="s">
        <v>53</v>
      </c>
      <c r="G92" s="1" t="s">
        <v>17</v>
      </c>
      <c r="H92" s="2">
        <v>0</v>
      </c>
      <c r="I92" s="2">
        <v>71868</v>
      </c>
      <c r="J92" s="2">
        <v>5556791</v>
      </c>
      <c r="K92" s="2">
        <v>5</v>
      </c>
      <c r="L92" s="2">
        <v>2022</v>
      </c>
    </row>
    <row r="93" spans="1:12" x14ac:dyDescent="0.3">
      <c r="A93" s="1" t="s">
        <v>132</v>
      </c>
      <c r="B93" s="2">
        <v>19</v>
      </c>
      <c r="C93" s="1" t="s">
        <v>133</v>
      </c>
      <c r="D93" s="1" t="s">
        <v>131</v>
      </c>
      <c r="E93" s="1" t="s">
        <v>248</v>
      </c>
      <c r="F93" s="1" t="s">
        <v>249</v>
      </c>
      <c r="G93" s="1" t="s">
        <v>17</v>
      </c>
      <c r="H93" s="2">
        <v>0</v>
      </c>
      <c r="I93" s="2">
        <v>377299</v>
      </c>
      <c r="J93" s="2">
        <v>31361517</v>
      </c>
      <c r="K93" s="2">
        <v>1</v>
      </c>
      <c r="L93" s="2">
        <v>2024</v>
      </c>
    </row>
    <row r="94" spans="1:12" x14ac:dyDescent="0.3">
      <c r="A94" s="1" t="s">
        <v>58</v>
      </c>
      <c r="B94" s="2">
        <v>27</v>
      </c>
      <c r="C94" s="1" t="s">
        <v>59</v>
      </c>
      <c r="D94" s="1" t="s">
        <v>241</v>
      </c>
      <c r="E94" s="1" t="s">
        <v>173</v>
      </c>
      <c r="F94" s="1" t="s">
        <v>174</v>
      </c>
      <c r="G94" s="1" t="s">
        <v>17</v>
      </c>
      <c r="H94" s="2">
        <v>0</v>
      </c>
      <c r="I94" s="2">
        <v>140242</v>
      </c>
      <c r="J94" s="2">
        <v>11473265</v>
      </c>
      <c r="K94" s="2">
        <v>11</v>
      </c>
      <c r="L94" s="2">
        <v>2022</v>
      </c>
    </row>
    <row r="95" spans="1:12" x14ac:dyDescent="0.3">
      <c r="A95" s="1" t="s">
        <v>28</v>
      </c>
      <c r="B95" s="2">
        <v>29</v>
      </c>
      <c r="C95" s="1" t="s">
        <v>236</v>
      </c>
      <c r="D95" s="1" t="s">
        <v>251</v>
      </c>
      <c r="E95" s="1" t="s">
        <v>335</v>
      </c>
      <c r="F95" s="1" t="s">
        <v>507</v>
      </c>
      <c r="G95" s="1" t="s">
        <v>17</v>
      </c>
      <c r="H95" s="2">
        <v>0</v>
      </c>
      <c r="I95" s="2">
        <v>653701</v>
      </c>
      <c r="J95" s="2">
        <v>48682569</v>
      </c>
      <c r="K95" s="2">
        <v>4</v>
      </c>
      <c r="L95" s="2">
        <v>2021</v>
      </c>
    </row>
    <row r="96" spans="1:12" x14ac:dyDescent="0.3">
      <c r="A96" s="1" t="s">
        <v>12</v>
      </c>
      <c r="B96" s="2">
        <v>8</v>
      </c>
      <c r="C96" s="1" t="s">
        <v>560</v>
      </c>
      <c r="D96" s="1" t="s">
        <v>20</v>
      </c>
      <c r="E96" s="1" t="s">
        <v>160</v>
      </c>
      <c r="F96" s="1" t="s">
        <v>161</v>
      </c>
      <c r="G96" s="1" t="s">
        <v>17</v>
      </c>
      <c r="H96" s="2">
        <v>0</v>
      </c>
      <c r="I96" s="2">
        <v>32949</v>
      </c>
      <c r="J96" s="2">
        <v>2354251</v>
      </c>
      <c r="K96" s="2">
        <v>11</v>
      </c>
      <c r="L96" s="2">
        <v>2019</v>
      </c>
    </row>
    <row r="97" spans="1:12" x14ac:dyDescent="0.3">
      <c r="A97" s="1" t="s">
        <v>18</v>
      </c>
      <c r="B97" s="2">
        <v>6</v>
      </c>
      <c r="C97" s="1" t="s">
        <v>19</v>
      </c>
      <c r="D97" s="1" t="s">
        <v>90</v>
      </c>
      <c r="E97" s="1" t="s">
        <v>258</v>
      </c>
      <c r="F97" s="1" t="s">
        <v>259</v>
      </c>
      <c r="G97" s="1" t="s">
        <v>17</v>
      </c>
      <c r="H97" s="2">
        <v>0</v>
      </c>
      <c r="I97" s="2">
        <v>823653</v>
      </c>
      <c r="J97" s="2">
        <v>68462884</v>
      </c>
      <c r="K97" s="2">
        <v>1</v>
      </c>
      <c r="L97" s="2">
        <v>2024</v>
      </c>
    </row>
    <row r="98" spans="1:12" x14ac:dyDescent="0.3">
      <c r="A98" s="1" t="s">
        <v>58</v>
      </c>
      <c r="B98" s="2">
        <v>27</v>
      </c>
      <c r="C98" s="1" t="s">
        <v>59</v>
      </c>
      <c r="D98" s="1" t="s">
        <v>142</v>
      </c>
      <c r="E98" s="1" t="s">
        <v>143</v>
      </c>
      <c r="F98" s="1" t="s">
        <v>144</v>
      </c>
      <c r="G98" s="1" t="s">
        <v>17</v>
      </c>
      <c r="H98" s="2">
        <v>0</v>
      </c>
      <c r="I98" s="2">
        <v>59591</v>
      </c>
      <c r="J98" s="2">
        <v>4740739</v>
      </c>
      <c r="K98" s="2">
        <v>8</v>
      </c>
      <c r="L98" s="2">
        <v>2022</v>
      </c>
    </row>
    <row r="99" spans="1:12" x14ac:dyDescent="0.3">
      <c r="A99" s="1" t="s">
        <v>28</v>
      </c>
      <c r="B99" s="2">
        <v>29</v>
      </c>
      <c r="C99" s="1" t="s">
        <v>236</v>
      </c>
      <c r="D99" s="1" t="s">
        <v>193</v>
      </c>
      <c r="E99" s="1" t="s">
        <v>127</v>
      </c>
      <c r="F99" s="1" t="s">
        <v>128</v>
      </c>
      <c r="G99" s="1" t="s">
        <v>17</v>
      </c>
      <c r="H99" s="2">
        <v>0</v>
      </c>
      <c r="I99" s="2">
        <v>224073</v>
      </c>
      <c r="J99" s="2">
        <v>17082533</v>
      </c>
      <c r="K99" s="2">
        <v>4</v>
      </c>
      <c r="L99" s="2">
        <v>2020</v>
      </c>
    </row>
    <row r="100" spans="1:12" x14ac:dyDescent="0.3">
      <c r="A100" s="1" t="s">
        <v>12</v>
      </c>
      <c r="B100" s="2">
        <v>8</v>
      </c>
      <c r="C100" s="1" t="s">
        <v>165</v>
      </c>
      <c r="D100" s="1" t="s">
        <v>232</v>
      </c>
      <c r="E100" s="1" t="s">
        <v>61</v>
      </c>
      <c r="F100" s="1" t="s">
        <v>62</v>
      </c>
      <c r="G100" s="1" t="s">
        <v>17</v>
      </c>
      <c r="H100" s="2">
        <v>0</v>
      </c>
      <c r="I100" s="2">
        <v>26770</v>
      </c>
      <c r="J100" s="2">
        <v>2040836</v>
      </c>
      <c r="K100" s="2">
        <v>4</v>
      </c>
      <c r="L100" s="2">
        <v>2020</v>
      </c>
    </row>
    <row r="101" spans="1:12" x14ac:dyDescent="0.3">
      <c r="A101" s="1" t="s">
        <v>28</v>
      </c>
      <c r="B101" s="2">
        <v>29</v>
      </c>
      <c r="C101" s="1" t="s">
        <v>236</v>
      </c>
      <c r="D101" s="1" t="s">
        <v>118</v>
      </c>
      <c r="E101" s="1" t="s">
        <v>86</v>
      </c>
      <c r="F101" s="1" t="s">
        <v>548</v>
      </c>
      <c r="G101" s="1" t="s">
        <v>17</v>
      </c>
      <c r="H101" s="2">
        <v>0</v>
      </c>
      <c r="I101" s="2">
        <v>886237</v>
      </c>
      <c r="J101" s="2">
        <v>73821739</v>
      </c>
      <c r="K101" s="2">
        <v>11</v>
      </c>
      <c r="L101" s="2">
        <v>2023</v>
      </c>
    </row>
    <row r="102" spans="1:12" x14ac:dyDescent="0.3">
      <c r="A102" s="1" t="s">
        <v>58</v>
      </c>
      <c r="B102" s="2">
        <v>27</v>
      </c>
      <c r="C102" s="1" t="s">
        <v>305</v>
      </c>
      <c r="D102" s="1" t="s">
        <v>193</v>
      </c>
      <c r="E102" s="1" t="s">
        <v>306</v>
      </c>
      <c r="F102" s="1" t="s">
        <v>307</v>
      </c>
      <c r="G102" s="1" t="s">
        <v>17</v>
      </c>
      <c r="H102" s="2">
        <v>0</v>
      </c>
      <c r="I102" s="2">
        <v>289300</v>
      </c>
      <c r="J102" s="2">
        <v>24183973</v>
      </c>
      <c r="K102" s="2">
        <v>7</v>
      </c>
      <c r="L102" s="2">
        <v>2024</v>
      </c>
    </row>
    <row r="103" spans="1:12" x14ac:dyDescent="0.3">
      <c r="A103" s="1" t="s">
        <v>58</v>
      </c>
      <c r="B103" s="2">
        <v>27</v>
      </c>
      <c r="C103" s="1" t="s">
        <v>290</v>
      </c>
      <c r="D103" s="1" t="s">
        <v>193</v>
      </c>
      <c r="E103" s="1" t="s">
        <v>92</v>
      </c>
      <c r="F103" s="1" t="s">
        <v>93</v>
      </c>
      <c r="G103" s="1" t="s">
        <v>17</v>
      </c>
      <c r="H103" s="2">
        <v>0</v>
      </c>
      <c r="I103" s="2">
        <v>42107</v>
      </c>
      <c r="J103" s="2">
        <v>3349810</v>
      </c>
      <c r="K103" s="2">
        <v>8</v>
      </c>
      <c r="L103" s="2">
        <v>2022</v>
      </c>
    </row>
    <row r="104" spans="1:12" x14ac:dyDescent="0.3">
      <c r="A104" s="1" t="s">
        <v>28</v>
      </c>
      <c r="B104" s="2">
        <v>29</v>
      </c>
      <c r="C104" s="1" t="s">
        <v>346</v>
      </c>
      <c r="D104" s="1" t="s">
        <v>30</v>
      </c>
      <c r="E104" s="1" t="s">
        <v>86</v>
      </c>
      <c r="F104" s="1" t="s">
        <v>548</v>
      </c>
      <c r="G104" s="1" t="s">
        <v>17</v>
      </c>
      <c r="H104" s="2">
        <v>0</v>
      </c>
      <c r="I104" s="2">
        <v>890</v>
      </c>
      <c r="J104" s="2">
        <v>73951</v>
      </c>
      <c r="K104" s="2">
        <v>1</v>
      </c>
      <c r="L104" s="2">
        <v>2024</v>
      </c>
    </row>
    <row r="105" spans="1:12" x14ac:dyDescent="0.3">
      <c r="A105" s="1" t="s">
        <v>47</v>
      </c>
      <c r="B105" s="2">
        <v>7</v>
      </c>
      <c r="C105" s="1" t="s">
        <v>51</v>
      </c>
      <c r="D105" s="1" t="s">
        <v>108</v>
      </c>
      <c r="E105" s="1" t="s">
        <v>338</v>
      </c>
      <c r="F105" s="1" t="s">
        <v>339</v>
      </c>
      <c r="G105" s="1" t="s">
        <v>17</v>
      </c>
      <c r="H105" s="2">
        <v>0</v>
      </c>
      <c r="I105" s="2">
        <v>495804</v>
      </c>
      <c r="J105" s="2">
        <v>33486307</v>
      </c>
      <c r="K105" s="2">
        <v>5</v>
      </c>
      <c r="L105" s="2">
        <v>2018</v>
      </c>
    </row>
    <row r="106" spans="1:12" x14ac:dyDescent="0.3">
      <c r="A106" s="1" t="s">
        <v>58</v>
      </c>
      <c r="B106" s="2">
        <v>27</v>
      </c>
      <c r="C106" s="1" t="s">
        <v>125</v>
      </c>
      <c r="D106" s="1" t="s">
        <v>534</v>
      </c>
      <c r="E106" s="1" t="s">
        <v>123</v>
      </c>
      <c r="F106" s="1" t="s">
        <v>553</v>
      </c>
      <c r="G106" s="1" t="s">
        <v>17</v>
      </c>
      <c r="H106" s="2">
        <v>0</v>
      </c>
      <c r="I106" s="2">
        <v>12343</v>
      </c>
      <c r="J106" s="2">
        <v>802547</v>
      </c>
      <c r="K106" s="2">
        <v>3</v>
      </c>
      <c r="L106" s="2">
        <v>2018</v>
      </c>
    </row>
    <row r="107" spans="1:12" x14ac:dyDescent="0.3">
      <c r="A107" s="1" t="s">
        <v>23</v>
      </c>
      <c r="B107" s="2">
        <v>24</v>
      </c>
      <c r="C107" s="1" t="s">
        <v>199</v>
      </c>
      <c r="D107" s="1" t="s">
        <v>190</v>
      </c>
      <c r="E107" s="1" t="s">
        <v>77</v>
      </c>
      <c r="F107" s="1" t="s">
        <v>78</v>
      </c>
      <c r="G107" s="1" t="s">
        <v>17</v>
      </c>
      <c r="H107" s="2">
        <v>0</v>
      </c>
      <c r="I107" s="2">
        <v>13437</v>
      </c>
      <c r="J107" s="2">
        <v>1078052</v>
      </c>
      <c r="K107" s="2">
        <v>9</v>
      </c>
      <c r="L107" s="2">
        <v>2022</v>
      </c>
    </row>
    <row r="108" spans="1:12" x14ac:dyDescent="0.3">
      <c r="A108" s="1" t="s">
        <v>47</v>
      </c>
      <c r="B108" s="2">
        <v>7</v>
      </c>
      <c r="C108" s="1" t="s">
        <v>48</v>
      </c>
      <c r="D108" s="1" t="s">
        <v>30</v>
      </c>
      <c r="E108" s="1" t="s">
        <v>26</v>
      </c>
      <c r="F108" s="1" t="s">
        <v>27</v>
      </c>
      <c r="G108" s="1" t="s">
        <v>17</v>
      </c>
      <c r="H108" s="2">
        <v>0</v>
      </c>
      <c r="I108" s="2">
        <v>4098187</v>
      </c>
      <c r="J108" s="2">
        <v>308890608</v>
      </c>
      <c r="K108" s="2">
        <v>12</v>
      </c>
      <c r="L108" s="2">
        <v>2021</v>
      </c>
    </row>
    <row r="109" spans="1:12" x14ac:dyDescent="0.3">
      <c r="A109" s="1" t="s">
        <v>33</v>
      </c>
      <c r="B109" s="2">
        <v>32</v>
      </c>
      <c r="C109" s="1" t="s">
        <v>561</v>
      </c>
      <c r="D109" s="1" t="s">
        <v>14</v>
      </c>
      <c r="E109" s="1" t="s">
        <v>157</v>
      </c>
      <c r="F109" s="1" t="s">
        <v>158</v>
      </c>
      <c r="G109" s="1" t="s">
        <v>17</v>
      </c>
      <c r="H109" s="2">
        <v>0</v>
      </c>
      <c r="I109" s="2">
        <v>434</v>
      </c>
      <c r="J109" s="2">
        <v>35768</v>
      </c>
      <c r="K109" s="2">
        <v>10</v>
      </c>
      <c r="L109" s="2">
        <v>2022</v>
      </c>
    </row>
    <row r="110" spans="1:12" x14ac:dyDescent="0.3">
      <c r="A110" s="1" t="s">
        <v>28</v>
      </c>
      <c r="B110" s="2">
        <v>29</v>
      </c>
      <c r="C110" s="1" t="s">
        <v>29</v>
      </c>
      <c r="D110" s="1" t="s">
        <v>30</v>
      </c>
      <c r="E110" s="1" t="s">
        <v>61</v>
      </c>
      <c r="F110" s="1" t="s">
        <v>62</v>
      </c>
      <c r="G110" s="1" t="s">
        <v>17</v>
      </c>
      <c r="H110" s="2">
        <v>0</v>
      </c>
      <c r="I110" s="2">
        <v>286506</v>
      </c>
      <c r="J110" s="2">
        <v>23590848</v>
      </c>
      <c r="K110" s="2">
        <v>10</v>
      </c>
      <c r="L110" s="2">
        <v>2022</v>
      </c>
    </row>
    <row r="111" spans="1:12" x14ac:dyDescent="0.3">
      <c r="A111" s="1" t="s">
        <v>47</v>
      </c>
      <c r="B111" s="2">
        <v>7</v>
      </c>
      <c r="C111" s="1" t="s">
        <v>48</v>
      </c>
      <c r="D111" s="1" t="s">
        <v>251</v>
      </c>
      <c r="E111" s="1" t="s">
        <v>347</v>
      </c>
      <c r="F111" s="1" t="s">
        <v>542</v>
      </c>
      <c r="G111" s="1" t="s">
        <v>17</v>
      </c>
      <c r="H111" s="2">
        <v>0</v>
      </c>
      <c r="I111" s="2">
        <v>40694</v>
      </c>
      <c r="J111" s="2">
        <v>3038665</v>
      </c>
      <c r="K111" s="2">
        <v>8</v>
      </c>
      <c r="L111" s="2">
        <v>2020</v>
      </c>
    </row>
    <row r="112" spans="1:12" x14ac:dyDescent="0.3">
      <c r="A112" s="1" t="s">
        <v>79</v>
      </c>
      <c r="B112" s="2">
        <v>9</v>
      </c>
      <c r="C112" s="1" t="s">
        <v>88</v>
      </c>
      <c r="D112" s="1" t="s">
        <v>68</v>
      </c>
      <c r="E112" s="1" t="s">
        <v>282</v>
      </c>
      <c r="F112" s="1" t="s">
        <v>283</v>
      </c>
      <c r="G112" s="1" t="s">
        <v>17</v>
      </c>
      <c r="H112" s="2">
        <v>0</v>
      </c>
      <c r="I112" s="2">
        <v>97854</v>
      </c>
      <c r="J112" s="2">
        <v>7119521</v>
      </c>
      <c r="K112" s="2">
        <v>2</v>
      </c>
      <c r="L112" s="2">
        <v>2021</v>
      </c>
    </row>
    <row r="113" spans="1:12" x14ac:dyDescent="0.3">
      <c r="A113" s="1" t="s">
        <v>137</v>
      </c>
      <c r="B113" s="2">
        <v>36</v>
      </c>
      <c r="C113" s="1" t="s">
        <v>138</v>
      </c>
      <c r="D113" s="1" t="s">
        <v>193</v>
      </c>
      <c r="E113" s="1" t="s">
        <v>52</v>
      </c>
      <c r="F113" s="1" t="s">
        <v>53</v>
      </c>
      <c r="G113" s="1" t="s">
        <v>17</v>
      </c>
      <c r="H113" s="2">
        <v>0</v>
      </c>
      <c r="I113" s="2">
        <v>8803</v>
      </c>
      <c r="J113" s="2">
        <v>720945</v>
      </c>
      <c r="K113" s="2">
        <v>1</v>
      </c>
      <c r="L113" s="2">
        <v>2023</v>
      </c>
    </row>
    <row r="114" spans="1:12" x14ac:dyDescent="0.3">
      <c r="A114" s="1" t="s">
        <v>12</v>
      </c>
      <c r="B114" s="2">
        <v>8</v>
      </c>
      <c r="C114" s="1" t="s">
        <v>426</v>
      </c>
      <c r="D114" s="1" t="s">
        <v>159</v>
      </c>
      <c r="E114" s="1" t="s">
        <v>306</v>
      </c>
      <c r="F114" s="1" t="s">
        <v>307</v>
      </c>
      <c r="G114" s="1" t="s">
        <v>17</v>
      </c>
      <c r="H114" s="2">
        <v>0</v>
      </c>
      <c r="I114" s="2">
        <v>38531</v>
      </c>
      <c r="J114" s="2">
        <v>3152236</v>
      </c>
      <c r="K114" s="2">
        <v>11</v>
      </c>
      <c r="L114" s="2">
        <v>2022</v>
      </c>
    </row>
    <row r="115" spans="1:12" x14ac:dyDescent="0.3">
      <c r="A115" s="1" t="s">
        <v>58</v>
      </c>
      <c r="B115" s="2">
        <v>27</v>
      </c>
      <c r="C115" s="1" t="s">
        <v>562</v>
      </c>
      <c r="D115" s="1" t="s">
        <v>153</v>
      </c>
      <c r="E115" s="1" t="s">
        <v>195</v>
      </c>
      <c r="F115" s="1" t="s">
        <v>196</v>
      </c>
      <c r="G115" s="1" t="s">
        <v>17</v>
      </c>
      <c r="H115" s="2">
        <v>0</v>
      </c>
      <c r="I115" s="2">
        <v>1400</v>
      </c>
      <c r="J115" s="2">
        <v>103008</v>
      </c>
      <c r="K115" s="2">
        <v>6</v>
      </c>
      <c r="L115" s="2">
        <v>2021</v>
      </c>
    </row>
    <row r="116" spans="1:12" x14ac:dyDescent="0.3">
      <c r="A116" s="1" t="s">
        <v>137</v>
      </c>
      <c r="B116" s="2">
        <v>36</v>
      </c>
      <c r="C116" s="1" t="s">
        <v>148</v>
      </c>
      <c r="D116" s="1" t="s">
        <v>35</v>
      </c>
      <c r="E116" s="1" t="s">
        <v>248</v>
      </c>
      <c r="F116" s="1" t="s">
        <v>249</v>
      </c>
      <c r="G116" s="1" t="s">
        <v>17</v>
      </c>
      <c r="H116" s="2">
        <v>0</v>
      </c>
      <c r="I116" s="2">
        <v>10776</v>
      </c>
      <c r="J116" s="2">
        <v>802528</v>
      </c>
      <c r="K116" s="2">
        <v>4</v>
      </c>
      <c r="L116" s="2">
        <v>2021</v>
      </c>
    </row>
    <row r="117" spans="1:12" x14ac:dyDescent="0.3">
      <c r="A117" s="1" t="s">
        <v>58</v>
      </c>
      <c r="B117" s="2">
        <v>27</v>
      </c>
      <c r="C117" s="1" t="s">
        <v>125</v>
      </c>
      <c r="D117" s="1" t="s">
        <v>30</v>
      </c>
      <c r="E117" s="1" t="s">
        <v>86</v>
      </c>
      <c r="F117" s="1" t="s">
        <v>548</v>
      </c>
      <c r="G117" s="1" t="s">
        <v>17</v>
      </c>
      <c r="H117" s="2">
        <v>0</v>
      </c>
      <c r="I117" s="2">
        <v>2413036</v>
      </c>
      <c r="J117" s="2">
        <v>197626741</v>
      </c>
      <c r="K117" s="2">
        <v>1</v>
      </c>
      <c r="L117" s="2">
        <v>2023</v>
      </c>
    </row>
    <row r="118" spans="1:12" x14ac:dyDescent="0.3">
      <c r="A118" s="1" t="s">
        <v>563</v>
      </c>
      <c r="B118" s="2">
        <v>16</v>
      </c>
      <c r="C118" s="1" t="s">
        <v>564</v>
      </c>
      <c r="D118" s="1" t="s">
        <v>224</v>
      </c>
      <c r="E118" s="1" t="s">
        <v>146</v>
      </c>
      <c r="F118" s="1" t="s">
        <v>147</v>
      </c>
      <c r="G118" s="1" t="s">
        <v>17</v>
      </c>
      <c r="H118" s="2">
        <v>0</v>
      </c>
      <c r="I118" s="2">
        <v>11893</v>
      </c>
      <c r="J118" s="2">
        <v>825827</v>
      </c>
      <c r="K118" s="2">
        <v>6</v>
      </c>
      <c r="L118" s="2">
        <v>2019</v>
      </c>
    </row>
    <row r="119" spans="1:12" x14ac:dyDescent="0.3">
      <c r="A119" s="1" t="s">
        <v>79</v>
      </c>
      <c r="B119" s="2">
        <v>9</v>
      </c>
      <c r="C119" s="1" t="s">
        <v>565</v>
      </c>
      <c r="D119" s="1" t="s">
        <v>190</v>
      </c>
      <c r="E119" s="1" t="s">
        <v>99</v>
      </c>
      <c r="F119" s="1" t="s">
        <v>549</v>
      </c>
      <c r="G119" s="1" t="s">
        <v>17</v>
      </c>
      <c r="H119" s="2">
        <v>0</v>
      </c>
      <c r="I119" s="2">
        <v>10103</v>
      </c>
      <c r="J119" s="2">
        <v>804204</v>
      </c>
      <c r="K119" s="2">
        <v>7</v>
      </c>
      <c r="L119" s="2">
        <v>2022</v>
      </c>
    </row>
    <row r="120" spans="1:12" x14ac:dyDescent="0.3">
      <c r="A120" s="1" t="s">
        <v>33</v>
      </c>
      <c r="B120" s="2">
        <v>32</v>
      </c>
      <c r="C120" s="1" t="s">
        <v>214</v>
      </c>
      <c r="D120" s="1" t="s">
        <v>153</v>
      </c>
      <c r="E120" s="1" t="s">
        <v>160</v>
      </c>
      <c r="F120" s="1" t="s">
        <v>161</v>
      </c>
      <c r="G120" s="1" t="s">
        <v>17</v>
      </c>
      <c r="H120" s="2">
        <v>0</v>
      </c>
      <c r="I120" s="2">
        <v>100128</v>
      </c>
      <c r="J120" s="2">
        <v>7633434</v>
      </c>
      <c r="K120" s="2">
        <v>4</v>
      </c>
      <c r="L120" s="2">
        <v>2020</v>
      </c>
    </row>
    <row r="121" spans="1:12" x14ac:dyDescent="0.3">
      <c r="A121" s="1" t="s">
        <v>18</v>
      </c>
      <c r="B121" s="2">
        <v>6</v>
      </c>
      <c r="C121" s="1" t="s">
        <v>566</v>
      </c>
      <c r="D121" s="1" t="s">
        <v>257</v>
      </c>
      <c r="E121" s="1" t="s">
        <v>146</v>
      </c>
      <c r="F121" s="1" t="s">
        <v>147</v>
      </c>
      <c r="G121" s="1" t="s">
        <v>17</v>
      </c>
      <c r="H121" s="2">
        <v>0</v>
      </c>
      <c r="I121" s="2">
        <v>36365</v>
      </c>
      <c r="J121" s="2">
        <v>2998801</v>
      </c>
      <c r="K121" s="2">
        <v>12</v>
      </c>
      <c r="L121" s="2">
        <v>2022</v>
      </c>
    </row>
    <row r="122" spans="1:12" x14ac:dyDescent="0.3">
      <c r="A122" s="1" t="s">
        <v>33</v>
      </c>
      <c r="B122" s="2">
        <v>32</v>
      </c>
      <c r="C122" s="1" t="s">
        <v>316</v>
      </c>
      <c r="D122" s="1" t="s">
        <v>142</v>
      </c>
      <c r="E122" s="1" t="s">
        <v>86</v>
      </c>
      <c r="F122" s="1" t="s">
        <v>548</v>
      </c>
      <c r="G122" s="1" t="s">
        <v>17</v>
      </c>
      <c r="H122" s="2">
        <v>0</v>
      </c>
      <c r="I122" s="2">
        <v>805</v>
      </c>
      <c r="J122" s="2">
        <v>57496</v>
      </c>
      <c r="K122" s="2">
        <v>11</v>
      </c>
      <c r="L122" s="2">
        <v>2019</v>
      </c>
    </row>
    <row r="123" spans="1:12" x14ac:dyDescent="0.3">
      <c r="A123" s="1" t="s">
        <v>58</v>
      </c>
      <c r="B123" s="2">
        <v>27</v>
      </c>
      <c r="C123" s="1" t="s">
        <v>125</v>
      </c>
      <c r="D123" s="1" t="s">
        <v>241</v>
      </c>
      <c r="E123" s="1" t="s">
        <v>202</v>
      </c>
      <c r="F123" s="1" t="s">
        <v>203</v>
      </c>
      <c r="G123" s="1" t="s">
        <v>17</v>
      </c>
      <c r="H123" s="2">
        <v>0</v>
      </c>
      <c r="I123" s="2">
        <v>67</v>
      </c>
      <c r="J123" s="2">
        <v>5359</v>
      </c>
      <c r="K123" s="2">
        <v>8</v>
      </c>
      <c r="L123" s="2">
        <v>2022</v>
      </c>
    </row>
    <row r="124" spans="1:12" x14ac:dyDescent="0.3">
      <c r="A124" s="1" t="s">
        <v>28</v>
      </c>
      <c r="B124" s="2">
        <v>29</v>
      </c>
      <c r="C124" s="1" t="s">
        <v>236</v>
      </c>
      <c r="D124" s="1" t="s">
        <v>167</v>
      </c>
      <c r="E124" s="1" t="s">
        <v>173</v>
      </c>
      <c r="F124" s="1" t="s">
        <v>174</v>
      </c>
      <c r="G124" s="1" t="s">
        <v>17</v>
      </c>
      <c r="H124" s="2">
        <v>0</v>
      </c>
      <c r="I124" s="2">
        <v>27985</v>
      </c>
      <c r="J124" s="2">
        <v>2304295</v>
      </c>
      <c r="K124" s="2">
        <v>10</v>
      </c>
      <c r="L124" s="2">
        <v>2022</v>
      </c>
    </row>
    <row r="125" spans="1:12" x14ac:dyDescent="0.3">
      <c r="A125" s="1" t="s">
        <v>47</v>
      </c>
      <c r="B125" s="2">
        <v>7</v>
      </c>
      <c r="C125" s="1" t="s">
        <v>48</v>
      </c>
      <c r="D125" s="1" t="s">
        <v>241</v>
      </c>
      <c r="E125" s="1" t="s">
        <v>109</v>
      </c>
      <c r="F125" s="1" t="s">
        <v>567</v>
      </c>
      <c r="G125" s="1" t="s">
        <v>17</v>
      </c>
      <c r="H125" s="2">
        <v>0</v>
      </c>
      <c r="I125" s="2">
        <v>79794</v>
      </c>
      <c r="J125" s="2">
        <v>5863412</v>
      </c>
      <c r="K125" s="2">
        <v>9</v>
      </c>
      <c r="L125" s="2">
        <v>2020</v>
      </c>
    </row>
    <row r="126" spans="1:12" x14ac:dyDescent="0.3">
      <c r="A126" s="1" t="s">
        <v>132</v>
      </c>
      <c r="B126" s="2">
        <v>19</v>
      </c>
      <c r="C126" s="1" t="s">
        <v>329</v>
      </c>
      <c r="D126" s="1" t="s">
        <v>167</v>
      </c>
      <c r="E126" s="1" t="s">
        <v>61</v>
      </c>
      <c r="F126" s="1" t="s">
        <v>62</v>
      </c>
      <c r="G126" s="1" t="s">
        <v>17</v>
      </c>
      <c r="H126" s="2">
        <v>0</v>
      </c>
      <c r="I126" s="2">
        <v>1461</v>
      </c>
      <c r="J126" s="2">
        <v>100550</v>
      </c>
      <c r="K126" s="2">
        <v>7</v>
      </c>
      <c r="L126" s="2">
        <v>2019</v>
      </c>
    </row>
    <row r="127" spans="1:12" x14ac:dyDescent="0.3">
      <c r="A127" t="s">
        <v>79</v>
      </c>
      <c r="B127">
        <v>9</v>
      </c>
      <c r="C127" t="s">
        <v>351</v>
      </c>
      <c r="D127" t="s">
        <v>153</v>
      </c>
      <c r="E127" t="s">
        <v>52</v>
      </c>
      <c r="F127" t="s">
        <v>53</v>
      </c>
      <c r="G127" t="s">
        <v>17</v>
      </c>
      <c r="H127">
        <v>0</v>
      </c>
      <c r="I127">
        <v>2402</v>
      </c>
      <c r="J127">
        <v>171738</v>
      </c>
      <c r="K127">
        <v>2</v>
      </c>
      <c r="L127">
        <v>2020</v>
      </c>
    </row>
    <row r="128" spans="1:12" x14ac:dyDescent="0.3">
      <c r="A128" t="s">
        <v>28</v>
      </c>
      <c r="B128">
        <v>29</v>
      </c>
      <c r="C128" t="s">
        <v>29</v>
      </c>
      <c r="D128" t="s">
        <v>217</v>
      </c>
      <c r="E128" t="s">
        <v>173</v>
      </c>
      <c r="F128" t="s">
        <v>174</v>
      </c>
      <c r="G128" t="s">
        <v>17</v>
      </c>
      <c r="H128">
        <v>0</v>
      </c>
      <c r="I128">
        <v>793</v>
      </c>
      <c r="J128">
        <v>54537</v>
      </c>
      <c r="K128">
        <v>7</v>
      </c>
      <c r="L128">
        <v>2019</v>
      </c>
    </row>
    <row r="129" spans="1:12" x14ac:dyDescent="0.3">
      <c r="A129" t="s">
        <v>28</v>
      </c>
      <c r="B129">
        <v>29</v>
      </c>
      <c r="C129" t="s">
        <v>568</v>
      </c>
      <c r="D129" t="s">
        <v>35</v>
      </c>
      <c r="E129" t="s">
        <v>157</v>
      </c>
      <c r="F129" t="s">
        <v>158</v>
      </c>
      <c r="G129" t="s">
        <v>17</v>
      </c>
      <c r="H129">
        <v>0</v>
      </c>
      <c r="I129">
        <v>67097</v>
      </c>
      <c r="J129">
        <v>4845437</v>
      </c>
      <c r="K129">
        <v>9</v>
      </c>
      <c r="L129">
        <v>2018</v>
      </c>
    </row>
    <row r="130" spans="1:12" x14ac:dyDescent="0.3">
      <c r="A130" t="s">
        <v>47</v>
      </c>
      <c r="B130">
        <v>7</v>
      </c>
      <c r="C130" t="s">
        <v>51</v>
      </c>
      <c r="D130" t="s">
        <v>153</v>
      </c>
      <c r="E130" t="s">
        <v>116</v>
      </c>
      <c r="F130" t="s">
        <v>117</v>
      </c>
      <c r="G130" t="s">
        <v>17</v>
      </c>
      <c r="H130">
        <v>0</v>
      </c>
      <c r="I130">
        <v>7553</v>
      </c>
      <c r="J130">
        <v>626896</v>
      </c>
      <c r="K130">
        <v>3</v>
      </c>
      <c r="L130">
        <v>2024</v>
      </c>
    </row>
    <row r="131" spans="1:12" x14ac:dyDescent="0.3">
      <c r="A131" t="s">
        <v>58</v>
      </c>
      <c r="B131">
        <v>27</v>
      </c>
      <c r="C131" t="s">
        <v>125</v>
      </c>
      <c r="D131" t="s">
        <v>142</v>
      </c>
      <c r="E131" t="s">
        <v>86</v>
      </c>
      <c r="F131" t="s">
        <v>548</v>
      </c>
      <c r="G131" t="s">
        <v>17</v>
      </c>
      <c r="H131">
        <v>0</v>
      </c>
      <c r="I131">
        <v>197762</v>
      </c>
      <c r="J131">
        <v>16494448</v>
      </c>
      <c r="K131">
        <v>4</v>
      </c>
      <c r="L131">
        <v>2024</v>
      </c>
    </row>
    <row r="132" spans="1:12" x14ac:dyDescent="0.3">
      <c r="A132" t="s">
        <v>23</v>
      </c>
      <c r="B132">
        <v>24</v>
      </c>
      <c r="C132" t="s">
        <v>24</v>
      </c>
      <c r="D132" t="s">
        <v>90</v>
      </c>
      <c r="E132" t="s">
        <v>56</v>
      </c>
      <c r="F132" t="s">
        <v>57</v>
      </c>
      <c r="G132" t="s">
        <v>17</v>
      </c>
      <c r="H132">
        <v>0</v>
      </c>
      <c r="I132">
        <v>6045224</v>
      </c>
      <c r="J132">
        <v>502040728</v>
      </c>
      <c r="K132">
        <v>9</v>
      </c>
      <c r="L132">
        <v>2023</v>
      </c>
    </row>
    <row r="133" spans="1:12" x14ac:dyDescent="0.3">
      <c r="A133" t="s">
        <v>23</v>
      </c>
      <c r="B133">
        <v>24</v>
      </c>
      <c r="C133" t="s">
        <v>218</v>
      </c>
      <c r="D133" t="s">
        <v>25</v>
      </c>
      <c r="E133" t="s">
        <v>86</v>
      </c>
      <c r="F133" t="s">
        <v>548</v>
      </c>
      <c r="G133" t="s">
        <v>17</v>
      </c>
      <c r="H133">
        <v>0</v>
      </c>
      <c r="I133">
        <v>34335</v>
      </c>
      <c r="J133">
        <v>2525792</v>
      </c>
      <c r="K133">
        <v>9</v>
      </c>
      <c r="L133">
        <v>2021</v>
      </c>
    </row>
    <row r="134" spans="1:12" x14ac:dyDescent="0.3">
      <c r="A134" t="s">
        <v>137</v>
      </c>
      <c r="B134">
        <v>36</v>
      </c>
      <c r="C134" t="s">
        <v>138</v>
      </c>
      <c r="D134" t="s">
        <v>90</v>
      </c>
      <c r="E134" t="s">
        <v>140</v>
      </c>
      <c r="F134" t="s">
        <v>554</v>
      </c>
      <c r="G134" t="s">
        <v>17</v>
      </c>
      <c r="H134">
        <v>0</v>
      </c>
      <c r="I134">
        <v>812060</v>
      </c>
      <c r="J134">
        <v>59733735</v>
      </c>
      <c r="K134">
        <v>6</v>
      </c>
      <c r="L134">
        <v>2021</v>
      </c>
    </row>
    <row r="135" spans="1:12" x14ac:dyDescent="0.3">
      <c r="A135" t="s">
        <v>137</v>
      </c>
      <c r="B135">
        <v>36</v>
      </c>
      <c r="C135" t="s">
        <v>148</v>
      </c>
      <c r="D135" t="s">
        <v>153</v>
      </c>
      <c r="E135" t="s">
        <v>308</v>
      </c>
      <c r="F135" t="s">
        <v>569</v>
      </c>
      <c r="G135" t="s">
        <v>17</v>
      </c>
      <c r="H135">
        <v>0</v>
      </c>
      <c r="I135">
        <v>294806</v>
      </c>
      <c r="J135">
        <v>24644234</v>
      </c>
      <c r="K135">
        <v>7</v>
      </c>
      <c r="L135">
        <v>2024</v>
      </c>
    </row>
    <row r="136" spans="1:12" x14ac:dyDescent="0.3">
      <c r="A136" t="s">
        <v>132</v>
      </c>
      <c r="B136">
        <v>19</v>
      </c>
      <c r="C136" t="s">
        <v>133</v>
      </c>
      <c r="D136" t="s">
        <v>317</v>
      </c>
      <c r="E136" t="s">
        <v>15</v>
      </c>
      <c r="F136" t="s">
        <v>359</v>
      </c>
      <c r="G136" t="s">
        <v>17</v>
      </c>
      <c r="H136">
        <v>0</v>
      </c>
      <c r="I136">
        <v>2091</v>
      </c>
      <c r="J136">
        <v>173441</v>
      </c>
      <c r="K136">
        <v>2</v>
      </c>
      <c r="L136">
        <v>2024</v>
      </c>
    </row>
    <row r="137" spans="1:12" x14ac:dyDescent="0.3">
      <c r="A137" t="s">
        <v>58</v>
      </c>
      <c r="B137">
        <v>27</v>
      </c>
      <c r="C137" t="s">
        <v>125</v>
      </c>
      <c r="D137" t="s">
        <v>35</v>
      </c>
      <c r="E137" t="s">
        <v>347</v>
      </c>
      <c r="F137" t="s">
        <v>542</v>
      </c>
      <c r="G137" t="s">
        <v>17</v>
      </c>
      <c r="H137">
        <v>0</v>
      </c>
      <c r="I137">
        <v>277144</v>
      </c>
      <c r="J137">
        <v>22767959</v>
      </c>
      <c r="K137">
        <v>7</v>
      </c>
      <c r="L137">
        <v>2023</v>
      </c>
    </row>
    <row r="138" spans="1:12" x14ac:dyDescent="0.3">
      <c r="A138" t="s">
        <v>79</v>
      </c>
      <c r="B138">
        <v>9</v>
      </c>
      <c r="C138" t="s">
        <v>189</v>
      </c>
      <c r="D138" t="s">
        <v>251</v>
      </c>
      <c r="E138" t="s">
        <v>61</v>
      </c>
      <c r="F138" t="s">
        <v>62</v>
      </c>
      <c r="G138" t="s">
        <v>17</v>
      </c>
      <c r="H138">
        <v>0</v>
      </c>
      <c r="I138">
        <v>141</v>
      </c>
      <c r="J138">
        <v>9819</v>
      </c>
      <c r="K138">
        <v>8</v>
      </c>
      <c r="L138">
        <v>2018</v>
      </c>
    </row>
    <row r="139" spans="1:12" x14ac:dyDescent="0.3">
      <c r="A139" t="s">
        <v>275</v>
      </c>
      <c r="B139">
        <v>28</v>
      </c>
      <c r="C139" t="s">
        <v>469</v>
      </c>
      <c r="D139" t="s">
        <v>241</v>
      </c>
      <c r="E139" t="s">
        <v>52</v>
      </c>
      <c r="F139" t="s">
        <v>53</v>
      </c>
      <c r="G139" t="s">
        <v>17</v>
      </c>
      <c r="H139">
        <v>0</v>
      </c>
      <c r="I139">
        <v>87613</v>
      </c>
      <c r="J139">
        <v>6529551</v>
      </c>
      <c r="K139">
        <v>7</v>
      </c>
      <c r="L139">
        <v>2021</v>
      </c>
    </row>
    <row r="140" spans="1:12" x14ac:dyDescent="0.3">
      <c r="A140" t="s">
        <v>275</v>
      </c>
      <c r="B140">
        <v>28</v>
      </c>
      <c r="C140" t="s">
        <v>502</v>
      </c>
      <c r="D140" t="s">
        <v>90</v>
      </c>
      <c r="E140" t="s">
        <v>95</v>
      </c>
      <c r="F140" t="s">
        <v>96</v>
      </c>
      <c r="G140" t="s">
        <v>17</v>
      </c>
      <c r="H140">
        <v>0</v>
      </c>
      <c r="I140">
        <v>741019</v>
      </c>
      <c r="J140">
        <v>48182020</v>
      </c>
      <c r="K140">
        <v>3</v>
      </c>
      <c r="L140">
        <v>2018</v>
      </c>
    </row>
    <row r="141" spans="1:12" x14ac:dyDescent="0.3">
      <c r="A141" t="s">
        <v>23</v>
      </c>
      <c r="B141">
        <v>24</v>
      </c>
      <c r="C141" t="s">
        <v>24</v>
      </c>
      <c r="D141" t="s">
        <v>508</v>
      </c>
      <c r="E141" t="s">
        <v>52</v>
      </c>
      <c r="F141" t="s">
        <v>53</v>
      </c>
      <c r="G141" t="s">
        <v>17</v>
      </c>
      <c r="H141">
        <v>0</v>
      </c>
      <c r="I141">
        <v>25231</v>
      </c>
      <c r="J141">
        <v>1803750</v>
      </c>
      <c r="K141">
        <v>2</v>
      </c>
      <c r="L141">
        <v>2020</v>
      </c>
    </row>
    <row r="142" spans="1:12" x14ac:dyDescent="0.3">
      <c r="A142" t="s">
        <v>23</v>
      </c>
      <c r="B142">
        <v>24</v>
      </c>
      <c r="C142" t="s">
        <v>218</v>
      </c>
      <c r="D142" t="s">
        <v>131</v>
      </c>
      <c r="E142" t="s">
        <v>335</v>
      </c>
      <c r="F142" t="s">
        <v>507</v>
      </c>
      <c r="G142" t="s">
        <v>17</v>
      </c>
      <c r="H142">
        <v>0</v>
      </c>
      <c r="I142">
        <v>5881</v>
      </c>
      <c r="J142">
        <v>408595</v>
      </c>
      <c r="K142">
        <v>3</v>
      </c>
      <c r="L142">
        <v>2019</v>
      </c>
    </row>
    <row r="143" spans="1:12" x14ac:dyDescent="0.3">
      <c r="A143" t="s">
        <v>47</v>
      </c>
      <c r="B143">
        <v>7</v>
      </c>
      <c r="C143" t="s">
        <v>48</v>
      </c>
      <c r="D143" t="s">
        <v>194</v>
      </c>
      <c r="E143" t="s">
        <v>273</v>
      </c>
      <c r="F143" t="s">
        <v>274</v>
      </c>
      <c r="G143" t="s">
        <v>17</v>
      </c>
      <c r="H143">
        <v>0</v>
      </c>
      <c r="I143">
        <v>203915</v>
      </c>
      <c r="J143">
        <v>14507685</v>
      </c>
      <c r="K143">
        <v>8</v>
      </c>
      <c r="L143">
        <v>2019</v>
      </c>
    </row>
    <row r="144" spans="1:12" x14ac:dyDescent="0.3">
      <c r="A144" t="s">
        <v>47</v>
      </c>
      <c r="B144">
        <v>7</v>
      </c>
      <c r="C144" t="s">
        <v>51</v>
      </c>
      <c r="D144" t="s">
        <v>215</v>
      </c>
      <c r="E144" t="s">
        <v>45</v>
      </c>
      <c r="F144" t="s">
        <v>46</v>
      </c>
      <c r="G144" t="s">
        <v>17</v>
      </c>
      <c r="H144">
        <v>0</v>
      </c>
      <c r="I144">
        <v>7312</v>
      </c>
      <c r="J144">
        <v>528063</v>
      </c>
      <c r="K144">
        <v>9</v>
      </c>
      <c r="L144">
        <v>2018</v>
      </c>
    </row>
    <row r="145" spans="1:12" x14ac:dyDescent="0.3">
      <c r="A145" t="s">
        <v>58</v>
      </c>
      <c r="B145">
        <v>27</v>
      </c>
      <c r="C145" t="s">
        <v>59</v>
      </c>
      <c r="D145" t="s">
        <v>153</v>
      </c>
      <c r="E145" t="s">
        <v>146</v>
      </c>
      <c r="F145" t="s">
        <v>147</v>
      </c>
      <c r="G145" t="s">
        <v>17</v>
      </c>
      <c r="H145">
        <v>0</v>
      </c>
      <c r="I145">
        <v>3201023</v>
      </c>
      <c r="J145">
        <v>231162857</v>
      </c>
      <c r="K145">
        <v>9</v>
      </c>
      <c r="L145">
        <v>2018</v>
      </c>
    </row>
    <row r="146" spans="1:12" x14ac:dyDescent="0.3">
      <c r="A146" t="s">
        <v>58</v>
      </c>
      <c r="B146">
        <v>27</v>
      </c>
      <c r="C146" t="s">
        <v>310</v>
      </c>
      <c r="D146" t="s">
        <v>193</v>
      </c>
      <c r="E146" t="s">
        <v>335</v>
      </c>
      <c r="F146" t="s">
        <v>507</v>
      </c>
      <c r="G146" t="s">
        <v>17</v>
      </c>
      <c r="H146">
        <v>0</v>
      </c>
      <c r="I146">
        <v>40332</v>
      </c>
      <c r="J146">
        <v>3363677</v>
      </c>
      <c r="K146">
        <v>5</v>
      </c>
      <c r="L146">
        <v>2024</v>
      </c>
    </row>
    <row r="147" spans="1:12" x14ac:dyDescent="0.3">
      <c r="A147" t="s">
        <v>58</v>
      </c>
      <c r="B147">
        <v>27</v>
      </c>
      <c r="C147" t="s">
        <v>216</v>
      </c>
      <c r="D147" t="s">
        <v>90</v>
      </c>
      <c r="E147" t="s">
        <v>86</v>
      </c>
      <c r="F147" t="s">
        <v>548</v>
      </c>
      <c r="G147" t="s">
        <v>17</v>
      </c>
      <c r="H147">
        <v>0</v>
      </c>
      <c r="I147">
        <v>504203</v>
      </c>
      <c r="J147">
        <v>38438704</v>
      </c>
      <c r="K147">
        <v>4</v>
      </c>
      <c r="L147">
        <v>2020</v>
      </c>
    </row>
    <row r="148" spans="1:12" x14ac:dyDescent="0.3">
      <c r="A148" t="s">
        <v>79</v>
      </c>
      <c r="B148">
        <v>9</v>
      </c>
      <c r="C148" t="s">
        <v>351</v>
      </c>
      <c r="D148" t="s">
        <v>251</v>
      </c>
      <c r="E148" t="s">
        <v>121</v>
      </c>
      <c r="F148" t="s">
        <v>122</v>
      </c>
      <c r="G148" t="s">
        <v>17</v>
      </c>
      <c r="H148">
        <v>0</v>
      </c>
      <c r="I148">
        <v>4696</v>
      </c>
      <c r="J148">
        <v>341653</v>
      </c>
      <c r="K148">
        <v>2</v>
      </c>
      <c r="L148">
        <v>2021</v>
      </c>
    </row>
    <row r="149" spans="1:12" x14ac:dyDescent="0.3">
      <c r="A149" t="s">
        <v>47</v>
      </c>
      <c r="B149">
        <v>7</v>
      </c>
      <c r="C149" t="s">
        <v>51</v>
      </c>
      <c r="D149" t="s">
        <v>251</v>
      </c>
      <c r="E149" t="s">
        <v>106</v>
      </c>
      <c r="F149" t="s">
        <v>558</v>
      </c>
      <c r="G149" t="s">
        <v>17</v>
      </c>
      <c r="H149">
        <v>0</v>
      </c>
      <c r="I149">
        <v>1888246</v>
      </c>
      <c r="J149">
        <v>156719904</v>
      </c>
      <c r="K149">
        <v>3</v>
      </c>
      <c r="L149">
        <v>2024</v>
      </c>
    </row>
    <row r="150" spans="1:12" x14ac:dyDescent="0.3">
      <c r="A150" t="s">
        <v>23</v>
      </c>
      <c r="B150">
        <v>24</v>
      </c>
      <c r="C150" t="s">
        <v>486</v>
      </c>
      <c r="D150" t="s">
        <v>44</v>
      </c>
      <c r="E150" t="s">
        <v>15</v>
      </c>
      <c r="F150" t="s">
        <v>359</v>
      </c>
      <c r="G150" t="s">
        <v>17</v>
      </c>
      <c r="H150">
        <v>0</v>
      </c>
      <c r="I150">
        <v>2801</v>
      </c>
      <c r="J150">
        <v>203921</v>
      </c>
      <c r="K150">
        <v>3</v>
      </c>
      <c r="L150">
        <v>2021</v>
      </c>
    </row>
    <row r="151" spans="1:12" x14ac:dyDescent="0.3">
      <c r="A151" t="s">
        <v>79</v>
      </c>
      <c r="B151">
        <v>9</v>
      </c>
      <c r="C151" t="s">
        <v>570</v>
      </c>
      <c r="D151" t="s">
        <v>167</v>
      </c>
      <c r="E151" t="s">
        <v>86</v>
      </c>
      <c r="F151" t="s">
        <v>548</v>
      </c>
      <c r="G151" t="s">
        <v>17</v>
      </c>
      <c r="H151">
        <v>0</v>
      </c>
      <c r="I151">
        <v>346116</v>
      </c>
      <c r="J151">
        <v>28865934</v>
      </c>
      <c r="K151">
        <v>5</v>
      </c>
      <c r="L151">
        <v>2024</v>
      </c>
    </row>
    <row r="152" spans="1:12" x14ac:dyDescent="0.3">
      <c r="A152" t="s">
        <v>73</v>
      </c>
      <c r="B152">
        <v>3</v>
      </c>
      <c r="C152" t="s">
        <v>74</v>
      </c>
      <c r="D152" t="s">
        <v>90</v>
      </c>
      <c r="E152" t="s">
        <v>154</v>
      </c>
      <c r="F152" t="s">
        <v>155</v>
      </c>
      <c r="G152" t="s">
        <v>17</v>
      </c>
      <c r="H152">
        <v>0</v>
      </c>
      <c r="I152">
        <v>598343</v>
      </c>
      <c r="J152">
        <v>38076673</v>
      </c>
      <c r="K152">
        <v>1</v>
      </c>
      <c r="L152">
        <v>2018</v>
      </c>
    </row>
    <row r="153" spans="1:12" x14ac:dyDescent="0.3">
      <c r="A153" t="s">
        <v>73</v>
      </c>
      <c r="B153">
        <v>3</v>
      </c>
      <c r="C153" t="s">
        <v>74</v>
      </c>
      <c r="D153" t="s">
        <v>153</v>
      </c>
      <c r="E153" t="s">
        <v>52</v>
      </c>
      <c r="F153" t="s">
        <v>53</v>
      </c>
      <c r="G153" t="s">
        <v>17</v>
      </c>
      <c r="H153">
        <v>0</v>
      </c>
      <c r="I153">
        <v>64695</v>
      </c>
      <c r="J153">
        <v>4932084</v>
      </c>
      <c r="K153">
        <v>4</v>
      </c>
      <c r="L153">
        <v>2020</v>
      </c>
    </row>
    <row r="154" spans="1:12" x14ac:dyDescent="0.3">
      <c r="A154" t="s">
        <v>132</v>
      </c>
      <c r="B154">
        <v>19</v>
      </c>
      <c r="C154" t="s">
        <v>209</v>
      </c>
      <c r="D154" t="s">
        <v>142</v>
      </c>
      <c r="E154" t="s">
        <v>571</v>
      </c>
      <c r="F154" t="s">
        <v>572</v>
      </c>
      <c r="G154" t="s">
        <v>17</v>
      </c>
      <c r="H154">
        <v>0</v>
      </c>
      <c r="I154">
        <v>146232</v>
      </c>
      <c r="J154">
        <v>10560163</v>
      </c>
      <c r="K154">
        <v>9</v>
      </c>
      <c r="L154">
        <v>2018</v>
      </c>
    </row>
    <row r="155" spans="1:12" x14ac:dyDescent="0.3">
      <c r="A155" t="s">
        <v>137</v>
      </c>
      <c r="B155">
        <v>36</v>
      </c>
      <c r="C155" t="s">
        <v>148</v>
      </c>
      <c r="D155" t="s">
        <v>320</v>
      </c>
      <c r="E155" t="s">
        <v>187</v>
      </c>
      <c r="F155" t="s">
        <v>188</v>
      </c>
      <c r="G155" t="s">
        <v>17</v>
      </c>
      <c r="H155">
        <v>0</v>
      </c>
      <c r="I155">
        <v>2066</v>
      </c>
      <c r="J155">
        <v>152026</v>
      </c>
      <c r="K155">
        <v>12</v>
      </c>
      <c r="L155">
        <v>2020</v>
      </c>
    </row>
    <row r="156" spans="1:12" x14ac:dyDescent="0.3">
      <c r="A156" t="s">
        <v>28</v>
      </c>
      <c r="B156">
        <v>29</v>
      </c>
      <c r="C156" t="s">
        <v>573</v>
      </c>
      <c r="D156" t="s">
        <v>320</v>
      </c>
      <c r="E156" t="s">
        <v>258</v>
      </c>
      <c r="F156" t="s">
        <v>259</v>
      </c>
      <c r="G156" t="s">
        <v>17</v>
      </c>
      <c r="H156">
        <v>0</v>
      </c>
      <c r="I156">
        <v>383</v>
      </c>
      <c r="J156">
        <v>31684</v>
      </c>
      <c r="K156">
        <v>8</v>
      </c>
      <c r="L156">
        <v>2023</v>
      </c>
    </row>
    <row r="157" spans="1:12" x14ac:dyDescent="0.3">
      <c r="A157" t="s">
        <v>28</v>
      </c>
      <c r="B157">
        <v>29</v>
      </c>
      <c r="C157" t="s">
        <v>29</v>
      </c>
      <c r="D157" t="s">
        <v>108</v>
      </c>
      <c r="E157" t="s">
        <v>258</v>
      </c>
      <c r="F157" t="s">
        <v>259</v>
      </c>
      <c r="G157" t="s">
        <v>17</v>
      </c>
      <c r="H157">
        <v>0</v>
      </c>
      <c r="I157">
        <v>1941348</v>
      </c>
      <c r="J157">
        <v>135453835</v>
      </c>
      <c r="K157">
        <v>5</v>
      </c>
      <c r="L157">
        <v>2019</v>
      </c>
    </row>
    <row r="158" spans="1:12" x14ac:dyDescent="0.3">
      <c r="A158" t="s">
        <v>23</v>
      </c>
      <c r="B158">
        <v>24</v>
      </c>
      <c r="C158" t="s">
        <v>38</v>
      </c>
      <c r="D158" t="s">
        <v>131</v>
      </c>
      <c r="E158" t="s">
        <v>52</v>
      </c>
      <c r="F158" t="s">
        <v>53</v>
      </c>
      <c r="G158" t="s">
        <v>17</v>
      </c>
      <c r="H158">
        <v>0</v>
      </c>
      <c r="I158">
        <v>81043</v>
      </c>
      <c r="J158">
        <v>5779468</v>
      </c>
      <c r="K158">
        <v>1</v>
      </c>
      <c r="L158">
        <v>2020</v>
      </c>
    </row>
    <row r="159" spans="1:12" x14ac:dyDescent="0.3">
      <c r="A159" t="s">
        <v>58</v>
      </c>
      <c r="B159">
        <v>27</v>
      </c>
      <c r="C159" t="s">
        <v>125</v>
      </c>
      <c r="D159" t="s">
        <v>153</v>
      </c>
      <c r="E159" t="s">
        <v>52</v>
      </c>
      <c r="F159" t="s">
        <v>53</v>
      </c>
      <c r="G159" t="s">
        <v>17</v>
      </c>
      <c r="H159">
        <v>0</v>
      </c>
      <c r="I159">
        <v>7951563</v>
      </c>
      <c r="J159">
        <v>566092442</v>
      </c>
      <c r="K159">
        <v>12</v>
      </c>
      <c r="L159">
        <v>2019</v>
      </c>
    </row>
    <row r="160" spans="1:12" x14ac:dyDescent="0.3">
      <c r="A160" t="s">
        <v>47</v>
      </c>
      <c r="B160">
        <v>7</v>
      </c>
      <c r="C160" t="s">
        <v>509</v>
      </c>
      <c r="D160" t="s">
        <v>194</v>
      </c>
      <c r="E160" t="s">
        <v>178</v>
      </c>
      <c r="F160" t="s">
        <v>510</v>
      </c>
      <c r="G160" t="s">
        <v>17</v>
      </c>
      <c r="H160">
        <v>0</v>
      </c>
      <c r="I160">
        <v>16561</v>
      </c>
      <c r="J160">
        <v>1248262</v>
      </c>
      <c r="K160">
        <v>12</v>
      </c>
      <c r="L160">
        <v>2021</v>
      </c>
    </row>
    <row r="161" spans="1:12" x14ac:dyDescent="0.3">
      <c r="A161" t="s">
        <v>58</v>
      </c>
      <c r="B161">
        <v>27</v>
      </c>
      <c r="C161" t="s">
        <v>125</v>
      </c>
      <c r="D161" t="s">
        <v>35</v>
      </c>
      <c r="E161" t="s">
        <v>282</v>
      </c>
      <c r="F161" t="s">
        <v>283</v>
      </c>
      <c r="G161" t="s">
        <v>17</v>
      </c>
      <c r="H161">
        <v>0</v>
      </c>
      <c r="I161">
        <v>9336</v>
      </c>
      <c r="J161">
        <v>686048</v>
      </c>
      <c r="K161">
        <v>9</v>
      </c>
      <c r="L161">
        <v>2020</v>
      </c>
    </row>
    <row r="162" spans="1:12" x14ac:dyDescent="0.3">
      <c r="A162" t="s">
        <v>79</v>
      </c>
      <c r="B162">
        <v>9</v>
      </c>
      <c r="C162" t="s">
        <v>511</v>
      </c>
      <c r="D162" t="s">
        <v>90</v>
      </c>
      <c r="E162" t="s">
        <v>95</v>
      </c>
      <c r="F162" t="s">
        <v>96</v>
      </c>
      <c r="G162" t="s">
        <v>17</v>
      </c>
      <c r="H162">
        <v>0</v>
      </c>
      <c r="I162">
        <v>22396</v>
      </c>
      <c r="J162">
        <v>1609249</v>
      </c>
      <c r="K162">
        <v>11</v>
      </c>
      <c r="L162">
        <v>2018</v>
      </c>
    </row>
    <row r="163" spans="1:12" x14ac:dyDescent="0.3">
      <c r="A163" t="s">
        <v>47</v>
      </c>
      <c r="B163">
        <v>7</v>
      </c>
      <c r="C163" t="s">
        <v>48</v>
      </c>
      <c r="D163" t="s">
        <v>153</v>
      </c>
      <c r="E163" t="s">
        <v>127</v>
      </c>
      <c r="F163" t="s">
        <v>128</v>
      </c>
      <c r="G163" t="s">
        <v>17</v>
      </c>
      <c r="H163">
        <v>0</v>
      </c>
      <c r="I163">
        <v>4995916</v>
      </c>
      <c r="J163">
        <v>357150576</v>
      </c>
      <c r="K163">
        <v>2</v>
      </c>
      <c r="L163">
        <v>2020</v>
      </c>
    </row>
    <row r="164" spans="1:12" x14ac:dyDescent="0.3">
      <c r="A164" t="s">
        <v>28</v>
      </c>
      <c r="B164">
        <v>29</v>
      </c>
      <c r="C164" t="s">
        <v>29</v>
      </c>
      <c r="D164" t="s">
        <v>320</v>
      </c>
      <c r="E164" t="s">
        <v>157</v>
      </c>
      <c r="F164" t="s">
        <v>158</v>
      </c>
      <c r="G164" t="s">
        <v>17</v>
      </c>
      <c r="H164">
        <v>0</v>
      </c>
      <c r="I164">
        <v>257688</v>
      </c>
      <c r="J164">
        <v>19422481</v>
      </c>
      <c r="K164">
        <v>12</v>
      </c>
      <c r="L164">
        <v>2021</v>
      </c>
    </row>
    <row r="165" spans="1:12" x14ac:dyDescent="0.3">
      <c r="A165" t="s">
        <v>23</v>
      </c>
      <c r="B165">
        <v>24</v>
      </c>
      <c r="C165" t="s">
        <v>235</v>
      </c>
      <c r="D165" t="s">
        <v>131</v>
      </c>
      <c r="E165" t="s">
        <v>146</v>
      </c>
      <c r="F165" t="s">
        <v>147</v>
      </c>
      <c r="G165" t="s">
        <v>17</v>
      </c>
      <c r="H165">
        <v>0</v>
      </c>
      <c r="I165">
        <v>74121</v>
      </c>
      <c r="J165">
        <v>5558596</v>
      </c>
      <c r="K165">
        <v>7</v>
      </c>
      <c r="L165">
        <v>2020</v>
      </c>
    </row>
    <row r="166" spans="1:12" x14ac:dyDescent="0.3">
      <c r="A166" t="s">
        <v>58</v>
      </c>
      <c r="B166">
        <v>27</v>
      </c>
      <c r="C166" t="s">
        <v>305</v>
      </c>
      <c r="D166" t="s">
        <v>241</v>
      </c>
      <c r="E166" t="s">
        <v>306</v>
      </c>
      <c r="F166" t="s">
        <v>307</v>
      </c>
      <c r="G166" t="s">
        <v>17</v>
      </c>
      <c r="H166">
        <v>0</v>
      </c>
      <c r="I166">
        <v>150691</v>
      </c>
      <c r="J166">
        <v>12514488</v>
      </c>
      <c r="K166">
        <v>9</v>
      </c>
      <c r="L166">
        <v>2023</v>
      </c>
    </row>
    <row r="167" spans="1:12" x14ac:dyDescent="0.3">
      <c r="A167" t="s">
        <v>58</v>
      </c>
      <c r="B167">
        <v>27</v>
      </c>
      <c r="C167" t="s">
        <v>59</v>
      </c>
      <c r="D167" t="s">
        <v>262</v>
      </c>
      <c r="E167" t="s">
        <v>154</v>
      </c>
      <c r="F167" t="s">
        <v>155</v>
      </c>
      <c r="G167" t="s">
        <v>17</v>
      </c>
      <c r="H167">
        <v>0</v>
      </c>
      <c r="I167">
        <v>5053</v>
      </c>
      <c r="J167">
        <v>384875</v>
      </c>
      <c r="K167">
        <v>4</v>
      </c>
      <c r="L167">
        <v>2022</v>
      </c>
    </row>
    <row r="168" spans="1:12" x14ac:dyDescent="0.3">
      <c r="A168" t="s">
        <v>275</v>
      </c>
      <c r="B168">
        <v>28</v>
      </c>
      <c r="C168" t="s">
        <v>574</v>
      </c>
      <c r="D168" t="s">
        <v>350</v>
      </c>
      <c r="E168" t="s">
        <v>86</v>
      </c>
      <c r="F168" t="s">
        <v>548</v>
      </c>
      <c r="G168" t="s">
        <v>17</v>
      </c>
      <c r="H168">
        <v>0</v>
      </c>
      <c r="I168">
        <v>51128</v>
      </c>
      <c r="J168">
        <v>3555799</v>
      </c>
      <c r="K168">
        <v>8</v>
      </c>
      <c r="L168">
        <v>2018</v>
      </c>
    </row>
    <row r="169" spans="1:12" x14ac:dyDescent="0.3">
      <c r="A169" t="s">
        <v>79</v>
      </c>
      <c r="B169">
        <v>9</v>
      </c>
      <c r="C169" t="s">
        <v>213</v>
      </c>
      <c r="D169" t="s">
        <v>153</v>
      </c>
      <c r="E169" t="s">
        <v>187</v>
      </c>
      <c r="F169" t="s">
        <v>188</v>
      </c>
      <c r="G169" t="s">
        <v>17</v>
      </c>
      <c r="H169">
        <v>0</v>
      </c>
      <c r="I169">
        <v>15169</v>
      </c>
      <c r="J169">
        <v>1262576</v>
      </c>
      <c r="K169">
        <v>10</v>
      </c>
      <c r="L169">
        <v>2023</v>
      </c>
    </row>
    <row r="170" spans="1:12" x14ac:dyDescent="0.3">
      <c r="A170" t="s">
        <v>58</v>
      </c>
      <c r="B170">
        <v>27</v>
      </c>
      <c r="C170" t="s">
        <v>310</v>
      </c>
      <c r="D170" t="s">
        <v>320</v>
      </c>
      <c r="E170" t="s">
        <v>173</v>
      </c>
      <c r="F170" t="s">
        <v>174</v>
      </c>
      <c r="G170" t="s">
        <v>17</v>
      </c>
      <c r="H170">
        <v>0</v>
      </c>
      <c r="I170">
        <v>252</v>
      </c>
      <c r="J170">
        <v>20900</v>
      </c>
      <c r="K170">
        <v>8</v>
      </c>
      <c r="L170">
        <v>2023</v>
      </c>
    </row>
    <row r="171" spans="1:12" x14ac:dyDescent="0.3">
      <c r="A171" t="s">
        <v>58</v>
      </c>
      <c r="B171">
        <v>27</v>
      </c>
      <c r="C171" t="s">
        <v>310</v>
      </c>
      <c r="D171" t="s">
        <v>118</v>
      </c>
      <c r="E171" t="s">
        <v>146</v>
      </c>
      <c r="F171" t="s">
        <v>147</v>
      </c>
      <c r="G171" t="s">
        <v>17</v>
      </c>
      <c r="H171">
        <v>0</v>
      </c>
      <c r="I171">
        <v>1</v>
      </c>
      <c r="J171">
        <v>75</v>
      </c>
      <c r="K171">
        <v>8</v>
      </c>
      <c r="L171">
        <v>2021</v>
      </c>
    </row>
    <row r="172" spans="1:12" x14ac:dyDescent="0.3">
      <c r="A172" t="s">
        <v>28</v>
      </c>
      <c r="B172">
        <v>29</v>
      </c>
      <c r="C172" t="s">
        <v>29</v>
      </c>
      <c r="D172" t="s">
        <v>118</v>
      </c>
      <c r="E172" t="s">
        <v>338</v>
      </c>
      <c r="F172" t="s">
        <v>339</v>
      </c>
      <c r="G172" t="s">
        <v>17</v>
      </c>
      <c r="H172">
        <v>0</v>
      </c>
      <c r="I172">
        <v>6879</v>
      </c>
      <c r="J172">
        <v>500721</v>
      </c>
      <c r="K172">
        <v>3</v>
      </c>
      <c r="L172">
        <v>2021</v>
      </c>
    </row>
    <row r="173" spans="1:12" x14ac:dyDescent="0.3">
      <c r="A173" t="s">
        <v>132</v>
      </c>
      <c r="B173">
        <v>19</v>
      </c>
      <c r="C173" t="s">
        <v>133</v>
      </c>
      <c r="D173" t="s">
        <v>575</v>
      </c>
      <c r="E173" t="s">
        <v>106</v>
      </c>
      <c r="F173" t="s">
        <v>558</v>
      </c>
      <c r="G173" t="s">
        <v>17</v>
      </c>
      <c r="H173">
        <v>0</v>
      </c>
      <c r="I173">
        <v>1130</v>
      </c>
      <c r="J173">
        <v>92933</v>
      </c>
      <c r="K173">
        <v>6</v>
      </c>
      <c r="L173">
        <v>2023</v>
      </c>
    </row>
    <row r="174" spans="1:12" x14ac:dyDescent="0.3">
      <c r="A174" t="s">
        <v>58</v>
      </c>
      <c r="B174">
        <v>27</v>
      </c>
      <c r="C174" t="s">
        <v>59</v>
      </c>
      <c r="D174" t="s">
        <v>320</v>
      </c>
      <c r="E174" t="s">
        <v>77</v>
      </c>
      <c r="F174" t="s">
        <v>78</v>
      </c>
      <c r="G174" t="s">
        <v>17</v>
      </c>
      <c r="H174">
        <v>0</v>
      </c>
      <c r="I174">
        <v>13007</v>
      </c>
      <c r="J174">
        <v>903025</v>
      </c>
      <c r="K174">
        <v>4</v>
      </c>
      <c r="L174">
        <v>2019</v>
      </c>
    </row>
    <row r="175" spans="1:12" x14ac:dyDescent="0.3">
      <c r="A175" t="s">
        <v>79</v>
      </c>
      <c r="B175">
        <v>9</v>
      </c>
      <c r="C175" t="s">
        <v>213</v>
      </c>
      <c r="D175" t="s">
        <v>90</v>
      </c>
      <c r="E175" t="s">
        <v>306</v>
      </c>
      <c r="F175" t="s">
        <v>307</v>
      </c>
      <c r="G175" t="s">
        <v>17</v>
      </c>
      <c r="H175">
        <v>0</v>
      </c>
      <c r="I175">
        <v>6894</v>
      </c>
      <c r="J175">
        <v>553105</v>
      </c>
      <c r="K175">
        <v>9</v>
      </c>
      <c r="L175">
        <v>2022</v>
      </c>
    </row>
    <row r="176" spans="1:12" x14ac:dyDescent="0.3">
      <c r="A176" t="s">
        <v>79</v>
      </c>
      <c r="B176">
        <v>9</v>
      </c>
      <c r="C176" t="s">
        <v>162</v>
      </c>
      <c r="D176" t="s">
        <v>108</v>
      </c>
      <c r="E176" t="s">
        <v>335</v>
      </c>
      <c r="F176" t="s">
        <v>507</v>
      </c>
      <c r="G176" t="s">
        <v>17</v>
      </c>
      <c r="H176">
        <v>0</v>
      </c>
      <c r="I176">
        <v>447873</v>
      </c>
      <c r="J176">
        <v>36680638</v>
      </c>
      <c r="K176">
        <v>1</v>
      </c>
      <c r="L176">
        <v>2023</v>
      </c>
    </row>
    <row r="177" spans="1:12" x14ac:dyDescent="0.3">
      <c r="A177" t="s">
        <v>47</v>
      </c>
      <c r="B177">
        <v>7</v>
      </c>
      <c r="C177" t="s">
        <v>48</v>
      </c>
      <c r="D177" t="s">
        <v>277</v>
      </c>
      <c r="E177" t="s">
        <v>168</v>
      </c>
      <c r="F177" t="s">
        <v>169</v>
      </c>
      <c r="G177" t="s">
        <v>17</v>
      </c>
      <c r="H177">
        <v>0</v>
      </c>
      <c r="I177">
        <v>2568</v>
      </c>
      <c r="J177">
        <v>182408</v>
      </c>
      <c r="K177">
        <v>10</v>
      </c>
      <c r="L177">
        <v>2019</v>
      </c>
    </row>
    <row r="178" spans="1:12" x14ac:dyDescent="0.3">
      <c r="A178" t="s">
        <v>47</v>
      </c>
      <c r="B178">
        <v>7</v>
      </c>
      <c r="C178" t="s">
        <v>51</v>
      </c>
      <c r="D178" t="s">
        <v>194</v>
      </c>
      <c r="E178" t="s">
        <v>140</v>
      </c>
      <c r="F178" t="s">
        <v>554</v>
      </c>
      <c r="G178" t="s">
        <v>17</v>
      </c>
      <c r="H178">
        <v>0</v>
      </c>
      <c r="I178">
        <v>11138</v>
      </c>
      <c r="J178">
        <v>791256</v>
      </c>
      <c r="K178">
        <v>10</v>
      </c>
      <c r="L178">
        <v>2019</v>
      </c>
    </row>
    <row r="179" spans="1:12" x14ac:dyDescent="0.3">
      <c r="A179" t="s">
        <v>33</v>
      </c>
      <c r="B179">
        <v>32</v>
      </c>
      <c r="C179" t="s">
        <v>561</v>
      </c>
      <c r="D179" t="s">
        <v>237</v>
      </c>
      <c r="E179" t="s">
        <v>127</v>
      </c>
      <c r="F179" t="s">
        <v>128</v>
      </c>
      <c r="G179" t="s">
        <v>17</v>
      </c>
      <c r="H179">
        <v>0</v>
      </c>
      <c r="I179">
        <v>130397</v>
      </c>
      <c r="J179">
        <v>9059812</v>
      </c>
      <c r="K179">
        <v>3</v>
      </c>
      <c r="L179">
        <v>2019</v>
      </c>
    </row>
    <row r="180" spans="1:12" x14ac:dyDescent="0.3">
      <c r="A180" t="s">
        <v>47</v>
      </c>
      <c r="B180">
        <v>7</v>
      </c>
      <c r="C180" t="s">
        <v>48</v>
      </c>
      <c r="D180" t="s">
        <v>105</v>
      </c>
      <c r="E180" t="s">
        <v>95</v>
      </c>
      <c r="F180" t="s">
        <v>96</v>
      </c>
      <c r="G180" t="s">
        <v>17</v>
      </c>
      <c r="H180">
        <v>0</v>
      </c>
      <c r="I180">
        <v>698383</v>
      </c>
      <c r="J180">
        <v>49397384</v>
      </c>
      <c r="K180">
        <v>12</v>
      </c>
      <c r="L180">
        <v>2018</v>
      </c>
    </row>
    <row r="181" spans="1:12" x14ac:dyDescent="0.3">
      <c r="A181" t="s">
        <v>58</v>
      </c>
      <c r="B181">
        <v>27</v>
      </c>
      <c r="C181" t="s">
        <v>125</v>
      </c>
      <c r="D181" t="s">
        <v>118</v>
      </c>
      <c r="E181" t="s">
        <v>86</v>
      </c>
      <c r="F181" t="s">
        <v>548</v>
      </c>
      <c r="G181" t="s">
        <v>17</v>
      </c>
      <c r="H181">
        <v>0</v>
      </c>
      <c r="I181">
        <v>812885</v>
      </c>
      <c r="J181">
        <v>56533307</v>
      </c>
      <c r="K181">
        <v>8</v>
      </c>
      <c r="L181">
        <v>2018</v>
      </c>
    </row>
    <row r="182" spans="1:12" x14ac:dyDescent="0.3">
      <c r="A182" t="s">
        <v>47</v>
      </c>
      <c r="B182">
        <v>7</v>
      </c>
      <c r="C182" t="s">
        <v>48</v>
      </c>
      <c r="D182" t="s">
        <v>251</v>
      </c>
      <c r="E182" t="s">
        <v>282</v>
      </c>
      <c r="F182" t="s">
        <v>283</v>
      </c>
      <c r="G182" t="s">
        <v>17</v>
      </c>
      <c r="H182">
        <v>0</v>
      </c>
      <c r="I182">
        <v>1580</v>
      </c>
      <c r="J182">
        <v>117236</v>
      </c>
      <c r="K182">
        <v>11</v>
      </c>
      <c r="L182">
        <v>2020</v>
      </c>
    </row>
    <row r="183" spans="1:12" x14ac:dyDescent="0.3">
      <c r="A183" t="s">
        <v>47</v>
      </c>
      <c r="B183">
        <v>7</v>
      </c>
      <c r="C183" t="s">
        <v>48</v>
      </c>
      <c r="D183" t="s">
        <v>68</v>
      </c>
      <c r="E183" t="s">
        <v>21</v>
      </c>
      <c r="F183" t="s">
        <v>22</v>
      </c>
      <c r="G183" t="s">
        <v>17</v>
      </c>
      <c r="H183">
        <v>0</v>
      </c>
      <c r="I183">
        <v>31202</v>
      </c>
      <c r="J183">
        <v>2412511</v>
      </c>
      <c r="K183">
        <v>5</v>
      </c>
      <c r="L183">
        <v>2022</v>
      </c>
    </row>
    <row r="184" spans="1:12" x14ac:dyDescent="0.3">
      <c r="A184" t="s">
        <v>23</v>
      </c>
      <c r="B184">
        <v>24</v>
      </c>
      <c r="C184" t="s">
        <v>24</v>
      </c>
      <c r="D184" t="s">
        <v>263</v>
      </c>
      <c r="E184" t="s">
        <v>308</v>
      </c>
      <c r="F184" t="s">
        <v>569</v>
      </c>
      <c r="G184" t="s">
        <v>17</v>
      </c>
      <c r="H184">
        <v>0</v>
      </c>
      <c r="I184">
        <v>5002</v>
      </c>
      <c r="J184">
        <v>322000</v>
      </c>
      <c r="K184">
        <v>2</v>
      </c>
      <c r="L184">
        <v>2018</v>
      </c>
    </row>
    <row r="185" spans="1:12" x14ac:dyDescent="0.3">
      <c r="A185" t="s">
        <v>58</v>
      </c>
      <c r="B185">
        <v>27</v>
      </c>
      <c r="C185" t="s">
        <v>290</v>
      </c>
      <c r="D185" t="s">
        <v>35</v>
      </c>
      <c r="E185" t="s">
        <v>258</v>
      </c>
      <c r="F185" t="s">
        <v>259</v>
      </c>
      <c r="G185" t="s">
        <v>17</v>
      </c>
      <c r="H185">
        <v>0</v>
      </c>
      <c r="I185">
        <v>418703</v>
      </c>
      <c r="J185">
        <v>30677400</v>
      </c>
      <c r="K185">
        <v>5</v>
      </c>
      <c r="L185">
        <v>2021</v>
      </c>
    </row>
    <row r="186" spans="1:12" x14ac:dyDescent="0.3">
      <c r="A186" t="s">
        <v>28</v>
      </c>
      <c r="B186">
        <v>29</v>
      </c>
      <c r="C186" t="s">
        <v>29</v>
      </c>
      <c r="D186" t="s">
        <v>320</v>
      </c>
      <c r="E186" t="s">
        <v>61</v>
      </c>
      <c r="F186" t="s">
        <v>62</v>
      </c>
      <c r="G186" t="s">
        <v>17</v>
      </c>
      <c r="H186">
        <v>0</v>
      </c>
      <c r="I186">
        <v>5644</v>
      </c>
      <c r="J186">
        <v>359137</v>
      </c>
      <c r="K186">
        <v>1</v>
      </c>
      <c r="L186">
        <v>2018</v>
      </c>
    </row>
    <row r="187" spans="1:12" x14ac:dyDescent="0.3">
      <c r="A187" t="s">
        <v>28</v>
      </c>
      <c r="B187">
        <v>29</v>
      </c>
      <c r="C187" t="s">
        <v>236</v>
      </c>
      <c r="D187" t="s">
        <v>90</v>
      </c>
      <c r="E187" t="s">
        <v>168</v>
      </c>
      <c r="F187" t="s">
        <v>169</v>
      </c>
      <c r="G187" t="s">
        <v>17</v>
      </c>
      <c r="H187">
        <v>0</v>
      </c>
      <c r="I187">
        <v>323663</v>
      </c>
      <c r="J187">
        <v>23042411</v>
      </c>
      <c r="K187">
        <v>12</v>
      </c>
      <c r="L187">
        <v>2019</v>
      </c>
    </row>
    <row r="188" spans="1:12" x14ac:dyDescent="0.3">
      <c r="A188" t="s">
        <v>23</v>
      </c>
      <c r="B188">
        <v>24</v>
      </c>
      <c r="C188" t="s">
        <v>218</v>
      </c>
      <c r="D188" t="s">
        <v>190</v>
      </c>
      <c r="E188" t="s">
        <v>121</v>
      </c>
      <c r="F188" t="s">
        <v>122</v>
      </c>
      <c r="G188" t="s">
        <v>17</v>
      </c>
      <c r="H188">
        <v>0</v>
      </c>
      <c r="I188">
        <v>3289</v>
      </c>
      <c r="J188">
        <v>222997</v>
      </c>
      <c r="K188">
        <v>6</v>
      </c>
      <c r="L188">
        <v>2018</v>
      </c>
    </row>
    <row r="189" spans="1:12" x14ac:dyDescent="0.3">
      <c r="A189" t="s">
        <v>58</v>
      </c>
      <c r="B189">
        <v>27</v>
      </c>
      <c r="C189" t="s">
        <v>290</v>
      </c>
      <c r="D189" t="s">
        <v>172</v>
      </c>
      <c r="E189" t="s">
        <v>95</v>
      </c>
      <c r="F189" t="s">
        <v>96</v>
      </c>
      <c r="G189" t="s">
        <v>17</v>
      </c>
      <c r="H189">
        <v>0</v>
      </c>
      <c r="I189">
        <v>3648</v>
      </c>
      <c r="J189">
        <v>274976</v>
      </c>
      <c r="K189">
        <v>12</v>
      </c>
      <c r="L189">
        <v>2021</v>
      </c>
    </row>
    <row r="190" spans="1:12" x14ac:dyDescent="0.3">
      <c r="A190" t="s">
        <v>137</v>
      </c>
      <c r="B190">
        <v>36</v>
      </c>
      <c r="C190" t="s">
        <v>148</v>
      </c>
      <c r="D190" t="s">
        <v>153</v>
      </c>
      <c r="E190" t="s">
        <v>45</v>
      </c>
      <c r="F190" t="s">
        <v>46</v>
      </c>
      <c r="G190" t="s">
        <v>17</v>
      </c>
      <c r="H190">
        <v>0</v>
      </c>
      <c r="I190">
        <v>47941</v>
      </c>
      <c r="J190">
        <v>3984880</v>
      </c>
      <c r="K190">
        <v>1</v>
      </c>
      <c r="L190">
        <v>2024</v>
      </c>
    </row>
    <row r="191" spans="1:12" x14ac:dyDescent="0.3">
      <c r="A191" t="s">
        <v>33</v>
      </c>
      <c r="B191">
        <v>32</v>
      </c>
      <c r="C191" t="s">
        <v>576</v>
      </c>
      <c r="D191" t="s">
        <v>194</v>
      </c>
      <c r="E191" t="s">
        <v>56</v>
      </c>
      <c r="F191" t="s">
        <v>57</v>
      </c>
      <c r="G191" t="s">
        <v>17</v>
      </c>
      <c r="H191">
        <v>0</v>
      </c>
      <c r="I191">
        <v>9255</v>
      </c>
      <c r="J191">
        <v>768173</v>
      </c>
      <c r="K191">
        <v>3</v>
      </c>
      <c r="L191">
        <v>2024</v>
      </c>
    </row>
    <row r="192" spans="1:12" x14ac:dyDescent="0.3">
      <c r="A192" t="s">
        <v>58</v>
      </c>
      <c r="B192">
        <v>27</v>
      </c>
      <c r="C192" t="s">
        <v>533</v>
      </c>
      <c r="D192" t="s">
        <v>131</v>
      </c>
      <c r="E192" t="s">
        <v>150</v>
      </c>
      <c r="F192" t="s">
        <v>151</v>
      </c>
      <c r="G192" t="s">
        <v>17</v>
      </c>
      <c r="H192">
        <v>0</v>
      </c>
      <c r="I192">
        <v>887022</v>
      </c>
      <c r="J192">
        <v>65252352</v>
      </c>
      <c r="K192">
        <v>9</v>
      </c>
      <c r="L192">
        <v>2021</v>
      </c>
    </row>
    <row r="193" spans="1:12" x14ac:dyDescent="0.3">
      <c r="A193" t="s">
        <v>18</v>
      </c>
      <c r="B193">
        <v>6</v>
      </c>
      <c r="C193" t="s">
        <v>19</v>
      </c>
      <c r="D193" t="s">
        <v>193</v>
      </c>
      <c r="E193" t="s">
        <v>99</v>
      </c>
      <c r="F193" t="s">
        <v>549</v>
      </c>
      <c r="G193" t="s">
        <v>17</v>
      </c>
      <c r="H193">
        <v>0</v>
      </c>
      <c r="I193">
        <v>167316</v>
      </c>
      <c r="J193">
        <v>11834779</v>
      </c>
      <c r="K193">
        <v>1</v>
      </c>
      <c r="L193">
        <v>2019</v>
      </c>
    </row>
    <row r="194" spans="1:12" x14ac:dyDescent="0.3">
      <c r="A194" t="s">
        <v>18</v>
      </c>
      <c r="B194">
        <v>6</v>
      </c>
      <c r="C194" t="s">
        <v>19</v>
      </c>
      <c r="D194" t="s">
        <v>320</v>
      </c>
      <c r="E194" t="s">
        <v>168</v>
      </c>
      <c r="F194" t="s">
        <v>169</v>
      </c>
      <c r="G194" t="s">
        <v>17</v>
      </c>
      <c r="H194">
        <v>0</v>
      </c>
      <c r="I194">
        <v>5011</v>
      </c>
      <c r="J194">
        <v>347928</v>
      </c>
      <c r="K194">
        <v>4</v>
      </c>
      <c r="L194">
        <v>2019</v>
      </c>
    </row>
    <row r="195" spans="1:12" x14ac:dyDescent="0.3">
      <c r="A195" t="s">
        <v>23</v>
      </c>
      <c r="B195">
        <v>24</v>
      </c>
      <c r="C195" t="s">
        <v>24</v>
      </c>
      <c r="D195" t="s">
        <v>25</v>
      </c>
      <c r="E195" t="s">
        <v>15</v>
      </c>
      <c r="F195" t="s">
        <v>359</v>
      </c>
      <c r="G195" t="s">
        <v>17</v>
      </c>
      <c r="H195">
        <v>0</v>
      </c>
      <c r="I195">
        <v>157263</v>
      </c>
      <c r="J195">
        <v>12617471</v>
      </c>
      <c r="K195">
        <v>9</v>
      </c>
      <c r="L195">
        <v>2022</v>
      </c>
    </row>
    <row r="196" spans="1:12" x14ac:dyDescent="0.3">
      <c r="A196" t="s">
        <v>28</v>
      </c>
      <c r="B196">
        <v>29</v>
      </c>
      <c r="C196" t="s">
        <v>29</v>
      </c>
      <c r="D196" t="s">
        <v>14</v>
      </c>
      <c r="E196" t="s">
        <v>56</v>
      </c>
      <c r="F196" t="s">
        <v>57</v>
      </c>
      <c r="G196" t="s">
        <v>17</v>
      </c>
      <c r="H196">
        <v>0</v>
      </c>
      <c r="I196">
        <v>3141</v>
      </c>
      <c r="J196">
        <v>231060</v>
      </c>
      <c r="K196">
        <v>6</v>
      </c>
      <c r="L196">
        <v>2021</v>
      </c>
    </row>
    <row r="197" spans="1:12" x14ac:dyDescent="0.3">
      <c r="A197" t="s">
        <v>47</v>
      </c>
      <c r="B197">
        <v>7</v>
      </c>
      <c r="C197" t="s">
        <v>509</v>
      </c>
      <c r="D197" t="s">
        <v>35</v>
      </c>
      <c r="E197" t="s">
        <v>61</v>
      </c>
      <c r="F197" t="s">
        <v>62</v>
      </c>
      <c r="G197" t="s">
        <v>17</v>
      </c>
      <c r="H197">
        <v>0</v>
      </c>
      <c r="I197">
        <v>151676</v>
      </c>
      <c r="J197">
        <v>10419149</v>
      </c>
      <c r="K197">
        <v>7</v>
      </c>
      <c r="L197">
        <v>2018</v>
      </c>
    </row>
    <row r="198" spans="1:12" x14ac:dyDescent="0.3">
      <c r="A198" t="s">
        <v>18</v>
      </c>
      <c r="B198">
        <v>6</v>
      </c>
      <c r="C198" t="s">
        <v>254</v>
      </c>
      <c r="D198" t="s">
        <v>303</v>
      </c>
      <c r="E198" t="s">
        <v>146</v>
      </c>
      <c r="F198" t="s">
        <v>147</v>
      </c>
      <c r="G198" t="s">
        <v>17</v>
      </c>
      <c r="H198">
        <v>0</v>
      </c>
      <c r="I198">
        <v>1019901</v>
      </c>
      <c r="J198">
        <v>84700268</v>
      </c>
      <c r="K198">
        <v>9</v>
      </c>
      <c r="L198">
        <v>2023</v>
      </c>
    </row>
    <row r="199" spans="1:12" x14ac:dyDescent="0.3">
      <c r="A199" t="s">
        <v>18</v>
      </c>
      <c r="B199">
        <v>6</v>
      </c>
      <c r="C199" t="s">
        <v>166</v>
      </c>
      <c r="D199" t="s">
        <v>90</v>
      </c>
      <c r="E199" t="s">
        <v>61</v>
      </c>
      <c r="F199" t="s">
        <v>62</v>
      </c>
      <c r="G199" t="s">
        <v>17</v>
      </c>
      <c r="H199">
        <v>0</v>
      </c>
      <c r="I199">
        <v>576164</v>
      </c>
      <c r="J199">
        <v>47891346</v>
      </c>
      <c r="K199">
        <v>1</v>
      </c>
      <c r="L199">
        <v>2024</v>
      </c>
    </row>
    <row r="200" spans="1:12" x14ac:dyDescent="0.3">
      <c r="A200" t="s">
        <v>23</v>
      </c>
      <c r="B200">
        <v>24</v>
      </c>
      <c r="C200" t="s">
        <v>577</v>
      </c>
      <c r="D200" t="s">
        <v>25</v>
      </c>
      <c r="E200" t="s">
        <v>173</v>
      </c>
      <c r="F200" t="s">
        <v>174</v>
      </c>
      <c r="G200" t="s">
        <v>17</v>
      </c>
      <c r="H200">
        <v>0</v>
      </c>
      <c r="I200">
        <v>547</v>
      </c>
      <c r="J200">
        <v>45529</v>
      </c>
      <c r="K200">
        <v>10</v>
      </c>
      <c r="L200">
        <v>2023</v>
      </c>
    </row>
    <row r="201" spans="1:12" x14ac:dyDescent="0.3">
      <c r="A201" t="s">
        <v>137</v>
      </c>
      <c r="B201">
        <v>36</v>
      </c>
      <c r="C201" t="s">
        <v>148</v>
      </c>
      <c r="D201" t="s">
        <v>142</v>
      </c>
      <c r="E201" t="s">
        <v>157</v>
      </c>
      <c r="F201" t="s">
        <v>158</v>
      </c>
      <c r="G201" t="s">
        <v>17</v>
      </c>
      <c r="H201">
        <v>0</v>
      </c>
      <c r="I201">
        <v>488</v>
      </c>
      <c r="J201">
        <v>33112</v>
      </c>
      <c r="K201">
        <v>6</v>
      </c>
      <c r="L201">
        <v>2018</v>
      </c>
    </row>
    <row r="202" spans="1:12" x14ac:dyDescent="0.3">
      <c r="A202" t="s">
        <v>58</v>
      </c>
      <c r="B202">
        <v>27</v>
      </c>
      <c r="C202" t="s">
        <v>216</v>
      </c>
      <c r="D202" t="s">
        <v>90</v>
      </c>
      <c r="E202" t="s">
        <v>106</v>
      </c>
      <c r="F202" t="s">
        <v>558</v>
      </c>
      <c r="G202" t="s">
        <v>17</v>
      </c>
      <c r="H202">
        <v>0</v>
      </c>
      <c r="I202">
        <v>76</v>
      </c>
      <c r="J202">
        <v>5273</v>
      </c>
      <c r="K202">
        <v>4</v>
      </c>
      <c r="L202">
        <v>2019</v>
      </c>
    </row>
    <row r="203" spans="1:12" x14ac:dyDescent="0.3">
      <c r="A203" t="s">
        <v>73</v>
      </c>
      <c r="B203">
        <v>3</v>
      </c>
      <c r="C203" t="s">
        <v>181</v>
      </c>
      <c r="D203" t="s">
        <v>167</v>
      </c>
      <c r="E203" t="s">
        <v>95</v>
      </c>
      <c r="F203" t="s">
        <v>96</v>
      </c>
      <c r="G203" t="s">
        <v>17</v>
      </c>
      <c r="H203">
        <v>0</v>
      </c>
      <c r="I203">
        <v>3837</v>
      </c>
      <c r="J203">
        <v>275681</v>
      </c>
      <c r="K203">
        <v>11</v>
      </c>
      <c r="L203">
        <v>2018</v>
      </c>
    </row>
    <row r="204" spans="1:12" x14ac:dyDescent="0.3">
      <c r="A204" t="s">
        <v>23</v>
      </c>
      <c r="B204">
        <v>24</v>
      </c>
      <c r="C204" t="s">
        <v>340</v>
      </c>
      <c r="D204" t="s">
        <v>551</v>
      </c>
      <c r="E204" t="s">
        <v>173</v>
      </c>
      <c r="F204" t="s">
        <v>174</v>
      </c>
      <c r="G204" t="s">
        <v>17</v>
      </c>
      <c r="H204">
        <v>0</v>
      </c>
      <c r="I204">
        <v>2081</v>
      </c>
      <c r="J204">
        <v>154457</v>
      </c>
      <c r="K204">
        <v>11</v>
      </c>
      <c r="L204">
        <v>2020</v>
      </c>
    </row>
    <row r="205" spans="1:12" x14ac:dyDescent="0.3">
      <c r="A205" t="s">
        <v>12</v>
      </c>
      <c r="B205">
        <v>8</v>
      </c>
      <c r="C205" t="s">
        <v>13</v>
      </c>
      <c r="D205" t="s">
        <v>90</v>
      </c>
      <c r="E205" t="s">
        <v>36</v>
      </c>
      <c r="F205" t="s">
        <v>37</v>
      </c>
      <c r="G205" t="s">
        <v>17</v>
      </c>
      <c r="H205">
        <v>0</v>
      </c>
      <c r="I205">
        <v>9440290</v>
      </c>
      <c r="J205">
        <v>655523353</v>
      </c>
      <c r="K205">
        <v>6</v>
      </c>
      <c r="L205">
        <v>2019</v>
      </c>
    </row>
    <row r="206" spans="1:12" x14ac:dyDescent="0.3">
      <c r="A206" t="s">
        <v>47</v>
      </c>
      <c r="B206">
        <v>7</v>
      </c>
      <c r="C206" t="s">
        <v>51</v>
      </c>
      <c r="D206" t="s">
        <v>20</v>
      </c>
      <c r="E206" t="s">
        <v>45</v>
      </c>
      <c r="F206" t="s">
        <v>46</v>
      </c>
      <c r="G206" t="s">
        <v>17</v>
      </c>
      <c r="H206">
        <v>0</v>
      </c>
      <c r="I206">
        <v>63628</v>
      </c>
      <c r="J206">
        <v>5298832</v>
      </c>
      <c r="K206">
        <v>12</v>
      </c>
      <c r="L206">
        <v>2023</v>
      </c>
    </row>
    <row r="207" spans="1:12" x14ac:dyDescent="0.3">
      <c r="A207" t="s">
        <v>18</v>
      </c>
      <c r="B207">
        <v>6</v>
      </c>
      <c r="C207" t="s">
        <v>97</v>
      </c>
      <c r="D207" t="s">
        <v>237</v>
      </c>
      <c r="E207" t="s">
        <v>36</v>
      </c>
      <c r="F207" t="s">
        <v>37</v>
      </c>
      <c r="G207" t="s">
        <v>17</v>
      </c>
      <c r="H207">
        <v>0</v>
      </c>
      <c r="I207">
        <v>129784</v>
      </c>
      <c r="J207">
        <v>9055432</v>
      </c>
      <c r="K207">
        <v>5</v>
      </c>
      <c r="L207">
        <v>2019</v>
      </c>
    </row>
    <row r="208" spans="1:12" x14ac:dyDescent="0.3">
      <c r="A208" t="s">
        <v>58</v>
      </c>
      <c r="B208">
        <v>27</v>
      </c>
      <c r="C208" t="s">
        <v>59</v>
      </c>
      <c r="D208" t="s">
        <v>215</v>
      </c>
      <c r="E208" t="s">
        <v>308</v>
      </c>
      <c r="F208" t="s">
        <v>569</v>
      </c>
      <c r="G208" t="s">
        <v>17</v>
      </c>
      <c r="H208">
        <v>0</v>
      </c>
      <c r="I208">
        <v>98336</v>
      </c>
      <c r="J208">
        <v>6832225</v>
      </c>
      <c r="K208">
        <v>3</v>
      </c>
      <c r="L208">
        <v>2019</v>
      </c>
    </row>
    <row r="209" spans="1:12" x14ac:dyDescent="0.3">
      <c r="A209" t="s">
        <v>132</v>
      </c>
      <c r="B209">
        <v>19</v>
      </c>
      <c r="C209" t="s">
        <v>209</v>
      </c>
      <c r="D209" t="s">
        <v>194</v>
      </c>
      <c r="E209" t="s">
        <v>127</v>
      </c>
      <c r="F209" t="s">
        <v>128</v>
      </c>
      <c r="G209" t="s">
        <v>17</v>
      </c>
      <c r="H209">
        <v>0</v>
      </c>
      <c r="I209">
        <v>140975</v>
      </c>
      <c r="J209">
        <v>10737724</v>
      </c>
      <c r="K209">
        <v>4</v>
      </c>
      <c r="L209">
        <v>2022</v>
      </c>
    </row>
    <row r="210" spans="1:12" x14ac:dyDescent="0.3">
      <c r="A210" t="s">
        <v>275</v>
      </c>
      <c r="B210">
        <v>28</v>
      </c>
      <c r="C210" t="s">
        <v>578</v>
      </c>
      <c r="D210" t="s">
        <v>90</v>
      </c>
      <c r="E210" t="s">
        <v>146</v>
      </c>
      <c r="F210" t="s">
        <v>147</v>
      </c>
      <c r="G210" t="s">
        <v>17</v>
      </c>
      <c r="H210">
        <v>0</v>
      </c>
      <c r="I210">
        <v>214</v>
      </c>
      <c r="J210">
        <v>15696</v>
      </c>
      <c r="K210">
        <v>5</v>
      </c>
      <c r="L210">
        <v>2021</v>
      </c>
    </row>
    <row r="211" spans="1:12" x14ac:dyDescent="0.3">
      <c r="A211" t="s">
        <v>47</v>
      </c>
      <c r="B211">
        <v>7</v>
      </c>
      <c r="C211" t="s">
        <v>48</v>
      </c>
      <c r="D211" t="s">
        <v>317</v>
      </c>
      <c r="E211" t="s">
        <v>127</v>
      </c>
      <c r="F211" t="s">
        <v>128</v>
      </c>
      <c r="G211" t="s">
        <v>17</v>
      </c>
      <c r="H211">
        <v>0</v>
      </c>
      <c r="I211">
        <v>1198785</v>
      </c>
      <c r="J211">
        <v>89276214</v>
      </c>
      <c r="K211">
        <v>4</v>
      </c>
      <c r="L211">
        <v>2021</v>
      </c>
    </row>
    <row r="212" spans="1:12" x14ac:dyDescent="0.3">
      <c r="A212" t="s">
        <v>33</v>
      </c>
      <c r="B212">
        <v>32</v>
      </c>
      <c r="C212" t="s">
        <v>34</v>
      </c>
      <c r="D212" t="s">
        <v>35</v>
      </c>
      <c r="E212" t="s">
        <v>99</v>
      </c>
      <c r="F212" t="s">
        <v>549</v>
      </c>
      <c r="G212" t="s">
        <v>17</v>
      </c>
      <c r="H212">
        <v>0</v>
      </c>
      <c r="I212">
        <v>109639</v>
      </c>
      <c r="J212">
        <v>7754915</v>
      </c>
      <c r="K212">
        <v>12</v>
      </c>
      <c r="L212">
        <v>2018</v>
      </c>
    </row>
    <row r="213" spans="1:12" x14ac:dyDescent="0.3">
      <c r="A213" t="s">
        <v>79</v>
      </c>
      <c r="B213">
        <v>9</v>
      </c>
      <c r="C213" t="s">
        <v>88</v>
      </c>
      <c r="D213" t="s">
        <v>90</v>
      </c>
      <c r="E213" t="s">
        <v>56</v>
      </c>
      <c r="F213" t="s">
        <v>57</v>
      </c>
      <c r="G213" t="s">
        <v>17</v>
      </c>
      <c r="H213">
        <v>0</v>
      </c>
      <c r="I213">
        <v>48137</v>
      </c>
      <c r="J213">
        <v>3969600</v>
      </c>
      <c r="K213">
        <v>12</v>
      </c>
      <c r="L213">
        <v>2022</v>
      </c>
    </row>
    <row r="214" spans="1:12" x14ac:dyDescent="0.3">
      <c r="A214" t="s">
        <v>28</v>
      </c>
      <c r="B214">
        <v>29</v>
      </c>
      <c r="C214" t="s">
        <v>29</v>
      </c>
      <c r="D214" t="s">
        <v>90</v>
      </c>
      <c r="E214" t="s">
        <v>52</v>
      </c>
      <c r="F214" t="s">
        <v>53</v>
      </c>
      <c r="G214" t="s">
        <v>17</v>
      </c>
      <c r="H214">
        <v>0</v>
      </c>
      <c r="I214">
        <v>4439570</v>
      </c>
      <c r="J214">
        <v>330732393</v>
      </c>
      <c r="K214">
        <v>11</v>
      </c>
      <c r="L214">
        <v>2021</v>
      </c>
    </row>
    <row r="215" spans="1:12" x14ac:dyDescent="0.3">
      <c r="A215" t="s">
        <v>23</v>
      </c>
      <c r="B215">
        <v>24</v>
      </c>
      <c r="C215" t="s">
        <v>38</v>
      </c>
      <c r="D215" t="s">
        <v>251</v>
      </c>
      <c r="E215" t="s">
        <v>21</v>
      </c>
      <c r="F215" t="s">
        <v>22</v>
      </c>
      <c r="G215" t="s">
        <v>17</v>
      </c>
      <c r="H215">
        <v>0</v>
      </c>
      <c r="I215">
        <v>547815</v>
      </c>
      <c r="J215">
        <v>45687461</v>
      </c>
      <c r="K215">
        <v>5</v>
      </c>
      <c r="L215">
        <v>2024</v>
      </c>
    </row>
    <row r="216" spans="1:12" x14ac:dyDescent="0.3">
      <c r="A216" t="s">
        <v>47</v>
      </c>
      <c r="B216">
        <v>7</v>
      </c>
      <c r="C216" t="s">
        <v>48</v>
      </c>
      <c r="D216" t="s">
        <v>25</v>
      </c>
      <c r="E216" t="s">
        <v>65</v>
      </c>
      <c r="F216" t="s">
        <v>66</v>
      </c>
      <c r="G216" t="s">
        <v>17</v>
      </c>
      <c r="H216">
        <v>0</v>
      </c>
      <c r="I216">
        <v>10847</v>
      </c>
      <c r="J216">
        <v>870310</v>
      </c>
      <c r="K216">
        <v>9</v>
      </c>
      <c r="L216">
        <v>2022</v>
      </c>
    </row>
    <row r="217" spans="1:12" x14ac:dyDescent="0.3">
      <c r="A217" t="s">
        <v>18</v>
      </c>
      <c r="B217">
        <v>6</v>
      </c>
      <c r="C217" t="s">
        <v>97</v>
      </c>
      <c r="D217" t="s">
        <v>251</v>
      </c>
      <c r="E217" t="s">
        <v>338</v>
      </c>
      <c r="F217" t="s">
        <v>339</v>
      </c>
      <c r="G217" t="s">
        <v>17</v>
      </c>
      <c r="H217">
        <v>0</v>
      </c>
      <c r="I217">
        <v>214110</v>
      </c>
      <c r="J217">
        <v>15273250</v>
      </c>
      <c r="K217">
        <v>9</v>
      </c>
      <c r="L217">
        <v>2019</v>
      </c>
    </row>
    <row r="218" spans="1:12" x14ac:dyDescent="0.3">
      <c r="A218" t="s">
        <v>47</v>
      </c>
      <c r="B218">
        <v>7</v>
      </c>
      <c r="C218" t="s">
        <v>509</v>
      </c>
      <c r="D218" t="s">
        <v>251</v>
      </c>
      <c r="E218" t="s">
        <v>579</v>
      </c>
      <c r="F218" t="s">
        <v>580</v>
      </c>
      <c r="G218" t="s">
        <v>17</v>
      </c>
      <c r="H218">
        <v>0</v>
      </c>
      <c r="I218">
        <v>21380</v>
      </c>
      <c r="J218">
        <v>1485472</v>
      </c>
      <c r="K218">
        <v>3</v>
      </c>
      <c r="L218">
        <v>2019</v>
      </c>
    </row>
    <row r="219" spans="1:12" x14ac:dyDescent="0.3">
      <c r="A219" t="s">
        <v>23</v>
      </c>
      <c r="B219">
        <v>24</v>
      </c>
      <c r="C219" t="s">
        <v>24</v>
      </c>
      <c r="D219" t="s">
        <v>217</v>
      </c>
      <c r="E219" t="s">
        <v>106</v>
      </c>
      <c r="F219" t="s">
        <v>558</v>
      </c>
      <c r="G219" t="s">
        <v>17</v>
      </c>
      <c r="H219">
        <v>0</v>
      </c>
      <c r="I219">
        <v>69418</v>
      </c>
      <c r="J219">
        <v>5075144</v>
      </c>
      <c r="K219">
        <v>1</v>
      </c>
      <c r="L219">
        <v>2021</v>
      </c>
    </row>
    <row r="220" spans="1:12" x14ac:dyDescent="0.3">
      <c r="A220" t="s">
        <v>132</v>
      </c>
      <c r="B220">
        <v>19</v>
      </c>
      <c r="C220" t="s">
        <v>133</v>
      </c>
      <c r="D220" t="s">
        <v>90</v>
      </c>
      <c r="E220" t="s">
        <v>306</v>
      </c>
      <c r="F220" t="s">
        <v>307</v>
      </c>
      <c r="G220" t="s">
        <v>17</v>
      </c>
      <c r="H220">
        <v>0</v>
      </c>
      <c r="I220">
        <v>13303</v>
      </c>
      <c r="J220">
        <v>898491</v>
      </c>
      <c r="K220">
        <v>5</v>
      </c>
      <c r="L220">
        <v>2018</v>
      </c>
    </row>
    <row r="221" spans="1:12" x14ac:dyDescent="0.3">
      <c r="A221" t="s">
        <v>28</v>
      </c>
      <c r="B221">
        <v>29</v>
      </c>
      <c r="C221" t="s">
        <v>29</v>
      </c>
      <c r="D221" t="s">
        <v>14</v>
      </c>
      <c r="E221" t="s">
        <v>36</v>
      </c>
      <c r="F221" t="s">
        <v>37</v>
      </c>
      <c r="G221" t="s">
        <v>17</v>
      </c>
      <c r="H221">
        <v>0</v>
      </c>
      <c r="I221">
        <v>309856</v>
      </c>
      <c r="J221">
        <v>23957892</v>
      </c>
      <c r="K221">
        <v>5</v>
      </c>
      <c r="L221">
        <v>2022</v>
      </c>
    </row>
    <row r="222" spans="1:12" x14ac:dyDescent="0.3">
      <c r="A222" t="s">
        <v>58</v>
      </c>
      <c r="B222">
        <v>27</v>
      </c>
      <c r="C222" t="s">
        <v>387</v>
      </c>
      <c r="D222" t="s">
        <v>25</v>
      </c>
      <c r="E222" t="s">
        <v>146</v>
      </c>
      <c r="F222" t="s">
        <v>147</v>
      </c>
      <c r="G222" t="s">
        <v>17</v>
      </c>
      <c r="H222">
        <v>0</v>
      </c>
      <c r="I222">
        <v>262925</v>
      </c>
      <c r="J222">
        <v>19505007</v>
      </c>
      <c r="K222">
        <v>8</v>
      </c>
      <c r="L222">
        <v>2021</v>
      </c>
    </row>
    <row r="223" spans="1:12" x14ac:dyDescent="0.3">
      <c r="A223" t="s">
        <v>79</v>
      </c>
      <c r="B223">
        <v>9</v>
      </c>
      <c r="C223" t="s">
        <v>189</v>
      </c>
      <c r="D223" t="s">
        <v>118</v>
      </c>
      <c r="E223" t="s">
        <v>335</v>
      </c>
      <c r="F223" t="s">
        <v>507</v>
      </c>
      <c r="G223" t="s">
        <v>17</v>
      </c>
      <c r="H223">
        <v>0</v>
      </c>
      <c r="I223">
        <v>69979</v>
      </c>
      <c r="J223">
        <v>5274525</v>
      </c>
      <c r="K223">
        <v>12</v>
      </c>
      <c r="L223">
        <v>2021</v>
      </c>
    </row>
    <row r="224" spans="1:12" x14ac:dyDescent="0.3">
      <c r="A224" t="s">
        <v>23</v>
      </c>
      <c r="B224">
        <v>24</v>
      </c>
      <c r="C224" t="s">
        <v>199</v>
      </c>
      <c r="D224" t="s">
        <v>167</v>
      </c>
      <c r="E224" t="s">
        <v>36</v>
      </c>
      <c r="F224" t="s">
        <v>37</v>
      </c>
      <c r="G224" t="s">
        <v>17</v>
      </c>
      <c r="H224">
        <v>0</v>
      </c>
      <c r="I224">
        <v>422460</v>
      </c>
      <c r="J224">
        <v>35163621</v>
      </c>
      <c r="K224">
        <v>10</v>
      </c>
      <c r="L224">
        <v>2023</v>
      </c>
    </row>
    <row r="225" spans="1:12" x14ac:dyDescent="0.3">
      <c r="A225" t="s">
        <v>58</v>
      </c>
      <c r="B225">
        <v>27</v>
      </c>
      <c r="C225" t="s">
        <v>310</v>
      </c>
      <c r="D225" t="s">
        <v>350</v>
      </c>
      <c r="E225" t="s">
        <v>36</v>
      </c>
      <c r="F225" t="s">
        <v>37</v>
      </c>
      <c r="G225" t="s">
        <v>17</v>
      </c>
      <c r="H225">
        <v>0</v>
      </c>
      <c r="I225">
        <v>46</v>
      </c>
      <c r="J225">
        <v>3817</v>
      </c>
      <c r="K225">
        <v>10</v>
      </c>
      <c r="L225">
        <v>2022</v>
      </c>
    </row>
    <row r="226" spans="1:12" x14ac:dyDescent="0.3">
      <c r="A226" t="s">
        <v>132</v>
      </c>
      <c r="B226">
        <v>19</v>
      </c>
      <c r="C226" t="s">
        <v>133</v>
      </c>
      <c r="D226" t="s">
        <v>118</v>
      </c>
      <c r="E226" t="s">
        <v>56</v>
      </c>
      <c r="F226" t="s">
        <v>57</v>
      </c>
      <c r="G226" t="s">
        <v>17</v>
      </c>
      <c r="H226">
        <v>0</v>
      </c>
      <c r="I226">
        <v>148647</v>
      </c>
      <c r="J226">
        <v>12337296</v>
      </c>
      <c r="K226">
        <v>3</v>
      </c>
      <c r="L226">
        <v>2024</v>
      </c>
    </row>
    <row r="227" spans="1:12" x14ac:dyDescent="0.3">
      <c r="A227" t="s">
        <v>28</v>
      </c>
      <c r="B227">
        <v>29</v>
      </c>
      <c r="C227" t="s">
        <v>581</v>
      </c>
      <c r="D227" t="s">
        <v>90</v>
      </c>
      <c r="E227" t="s">
        <v>99</v>
      </c>
      <c r="F227" t="s">
        <v>549</v>
      </c>
      <c r="G227" t="s">
        <v>17</v>
      </c>
      <c r="H227">
        <v>0</v>
      </c>
      <c r="I227">
        <v>67</v>
      </c>
      <c r="J227">
        <v>5564</v>
      </c>
      <c r="K227">
        <v>6</v>
      </c>
      <c r="L227">
        <v>2024</v>
      </c>
    </row>
    <row r="228" spans="1:12" x14ac:dyDescent="0.3">
      <c r="A228" t="s">
        <v>132</v>
      </c>
      <c r="B228">
        <v>19</v>
      </c>
      <c r="C228" t="s">
        <v>209</v>
      </c>
      <c r="D228" t="s">
        <v>44</v>
      </c>
      <c r="E228" t="s">
        <v>52</v>
      </c>
      <c r="F228" t="s">
        <v>53</v>
      </c>
      <c r="G228" t="s">
        <v>17</v>
      </c>
      <c r="H228">
        <v>0</v>
      </c>
      <c r="I228">
        <v>156763</v>
      </c>
      <c r="J228">
        <v>11678306</v>
      </c>
      <c r="K228">
        <v>11</v>
      </c>
      <c r="L228">
        <v>2021</v>
      </c>
    </row>
    <row r="229" spans="1:12" x14ac:dyDescent="0.3">
      <c r="A229" t="s">
        <v>47</v>
      </c>
      <c r="B229">
        <v>7</v>
      </c>
      <c r="C229" t="s">
        <v>48</v>
      </c>
      <c r="D229" t="s">
        <v>118</v>
      </c>
      <c r="E229" t="s">
        <v>154</v>
      </c>
      <c r="F229" t="s">
        <v>155</v>
      </c>
      <c r="G229" t="s">
        <v>17</v>
      </c>
      <c r="H229">
        <v>0</v>
      </c>
      <c r="I229">
        <v>7685</v>
      </c>
      <c r="J229">
        <v>572761</v>
      </c>
      <c r="K229">
        <v>7</v>
      </c>
      <c r="L229">
        <v>2021</v>
      </c>
    </row>
    <row r="230" spans="1:12" x14ac:dyDescent="0.3">
      <c r="A230" t="s">
        <v>79</v>
      </c>
      <c r="B230">
        <v>9</v>
      </c>
      <c r="C230" t="s">
        <v>511</v>
      </c>
      <c r="D230" t="s">
        <v>90</v>
      </c>
      <c r="E230" t="s">
        <v>140</v>
      </c>
      <c r="F230" t="s">
        <v>554</v>
      </c>
      <c r="G230" t="s">
        <v>17</v>
      </c>
      <c r="H230">
        <v>0</v>
      </c>
      <c r="I230">
        <v>907</v>
      </c>
      <c r="J230">
        <v>64162</v>
      </c>
      <c r="K230">
        <v>12</v>
      </c>
      <c r="L230">
        <v>2018</v>
      </c>
    </row>
    <row r="231" spans="1:12" x14ac:dyDescent="0.3">
      <c r="A231" t="s">
        <v>58</v>
      </c>
      <c r="B231">
        <v>27</v>
      </c>
      <c r="C231" t="s">
        <v>59</v>
      </c>
      <c r="D231" t="s">
        <v>108</v>
      </c>
      <c r="E231" t="s">
        <v>82</v>
      </c>
      <c r="F231" t="s">
        <v>83</v>
      </c>
      <c r="G231" t="s">
        <v>17</v>
      </c>
      <c r="H231">
        <v>0</v>
      </c>
      <c r="I231">
        <v>2737</v>
      </c>
      <c r="J231">
        <v>199148</v>
      </c>
      <c r="K231">
        <v>2</v>
      </c>
      <c r="L231">
        <v>2021</v>
      </c>
    </row>
    <row r="232" spans="1:12" x14ac:dyDescent="0.3">
      <c r="A232" t="s">
        <v>132</v>
      </c>
      <c r="B232">
        <v>19</v>
      </c>
      <c r="C232" t="s">
        <v>209</v>
      </c>
      <c r="D232" t="s">
        <v>153</v>
      </c>
      <c r="E232" t="s">
        <v>335</v>
      </c>
      <c r="F232" t="s">
        <v>507</v>
      </c>
      <c r="G232" t="s">
        <v>17</v>
      </c>
      <c r="H232">
        <v>0</v>
      </c>
      <c r="I232">
        <v>597719</v>
      </c>
      <c r="J232">
        <v>46215229</v>
      </c>
      <c r="K232">
        <v>5</v>
      </c>
      <c r="L232">
        <v>2022</v>
      </c>
    </row>
    <row r="233" spans="1:12" x14ac:dyDescent="0.3">
      <c r="A233" t="s">
        <v>28</v>
      </c>
      <c r="B233">
        <v>29</v>
      </c>
      <c r="C233" t="s">
        <v>29</v>
      </c>
      <c r="D233" t="s">
        <v>118</v>
      </c>
      <c r="E233" t="s">
        <v>56</v>
      </c>
      <c r="F233" t="s">
        <v>57</v>
      </c>
      <c r="G233" t="s">
        <v>17</v>
      </c>
      <c r="H233">
        <v>0</v>
      </c>
      <c r="I233">
        <v>647901</v>
      </c>
      <c r="J233">
        <v>54161066</v>
      </c>
      <c r="K233">
        <v>7</v>
      </c>
      <c r="L233">
        <v>2024</v>
      </c>
    </row>
    <row r="234" spans="1:12" x14ac:dyDescent="0.3">
      <c r="A234" t="s">
        <v>28</v>
      </c>
      <c r="B234">
        <v>29</v>
      </c>
      <c r="C234" t="s">
        <v>514</v>
      </c>
      <c r="D234" t="s">
        <v>350</v>
      </c>
      <c r="E234" t="s">
        <v>15</v>
      </c>
      <c r="F234" t="s">
        <v>359</v>
      </c>
      <c r="G234" t="s">
        <v>17</v>
      </c>
      <c r="H234">
        <v>0</v>
      </c>
      <c r="I234">
        <v>90359</v>
      </c>
      <c r="J234">
        <v>7480421</v>
      </c>
      <c r="K234">
        <v>8</v>
      </c>
      <c r="L234">
        <v>2023</v>
      </c>
    </row>
    <row r="235" spans="1:12" x14ac:dyDescent="0.3">
      <c r="A235" t="s">
        <v>47</v>
      </c>
      <c r="B235">
        <v>7</v>
      </c>
      <c r="C235" t="s">
        <v>51</v>
      </c>
      <c r="D235" t="s">
        <v>20</v>
      </c>
      <c r="E235" t="s">
        <v>347</v>
      </c>
      <c r="F235" t="s">
        <v>542</v>
      </c>
      <c r="G235" t="s">
        <v>17</v>
      </c>
      <c r="H235">
        <v>0</v>
      </c>
      <c r="I235">
        <v>95028</v>
      </c>
      <c r="J235">
        <v>6721595</v>
      </c>
      <c r="K235">
        <v>1</v>
      </c>
      <c r="L235">
        <v>2019</v>
      </c>
    </row>
    <row r="236" spans="1:12" x14ac:dyDescent="0.3">
      <c r="A236" t="s">
        <v>73</v>
      </c>
      <c r="B236">
        <v>3</v>
      </c>
      <c r="C236" t="s">
        <v>582</v>
      </c>
      <c r="D236" t="s">
        <v>583</v>
      </c>
      <c r="E236" t="s">
        <v>157</v>
      </c>
      <c r="F236" t="s">
        <v>158</v>
      </c>
      <c r="G236" t="s">
        <v>17</v>
      </c>
      <c r="H236">
        <v>0</v>
      </c>
      <c r="I236">
        <v>390</v>
      </c>
      <c r="J236">
        <v>28187</v>
      </c>
      <c r="K236">
        <v>9</v>
      </c>
      <c r="L236">
        <v>2018</v>
      </c>
    </row>
    <row r="237" spans="1:12" x14ac:dyDescent="0.3">
      <c r="A237" t="s">
        <v>23</v>
      </c>
      <c r="B237">
        <v>24</v>
      </c>
      <c r="C237" t="s">
        <v>38</v>
      </c>
      <c r="D237" t="s">
        <v>317</v>
      </c>
      <c r="E237" t="s">
        <v>95</v>
      </c>
      <c r="F237" t="s">
        <v>96</v>
      </c>
      <c r="G237" t="s">
        <v>17</v>
      </c>
      <c r="H237">
        <v>0</v>
      </c>
      <c r="I237">
        <v>91359</v>
      </c>
      <c r="J237">
        <v>6851334</v>
      </c>
      <c r="K237">
        <v>7</v>
      </c>
      <c r="L237">
        <v>2020</v>
      </c>
    </row>
    <row r="238" spans="1:12" x14ac:dyDescent="0.3">
      <c r="A238" t="s">
        <v>137</v>
      </c>
      <c r="B238">
        <v>36</v>
      </c>
      <c r="C238" t="s">
        <v>523</v>
      </c>
      <c r="D238" t="s">
        <v>320</v>
      </c>
      <c r="E238" t="s">
        <v>36</v>
      </c>
      <c r="F238" t="s">
        <v>37</v>
      </c>
      <c r="G238" t="s">
        <v>17</v>
      </c>
      <c r="H238">
        <v>0</v>
      </c>
      <c r="I238">
        <v>25316</v>
      </c>
      <c r="J238">
        <v>2014052</v>
      </c>
      <c r="K238">
        <v>8</v>
      </c>
      <c r="L238">
        <v>2022</v>
      </c>
    </row>
    <row r="239" spans="1:12" x14ac:dyDescent="0.3">
      <c r="A239" t="s">
        <v>28</v>
      </c>
      <c r="B239">
        <v>29</v>
      </c>
      <c r="C239" t="s">
        <v>29</v>
      </c>
      <c r="D239" t="s">
        <v>172</v>
      </c>
      <c r="E239" t="s">
        <v>86</v>
      </c>
      <c r="F239" t="s">
        <v>548</v>
      </c>
      <c r="G239" t="s">
        <v>17</v>
      </c>
      <c r="H239">
        <v>0</v>
      </c>
      <c r="I239">
        <v>30088</v>
      </c>
      <c r="J239">
        <v>2149855</v>
      </c>
      <c r="K239">
        <v>11</v>
      </c>
      <c r="L239">
        <v>2019</v>
      </c>
    </row>
    <row r="240" spans="1:12" x14ac:dyDescent="0.3">
      <c r="A240" t="s">
        <v>18</v>
      </c>
      <c r="B240">
        <v>6</v>
      </c>
      <c r="C240" t="s">
        <v>566</v>
      </c>
      <c r="D240" t="s">
        <v>90</v>
      </c>
      <c r="E240" t="s">
        <v>168</v>
      </c>
      <c r="F240" t="s">
        <v>169</v>
      </c>
      <c r="G240" t="s">
        <v>17</v>
      </c>
      <c r="H240">
        <v>0</v>
      </c>
      <c r="I240">
        <v>3572</v>
      </c>
      <c r="J240">
        <v>294585</v>
      </c>
      <c r="K240">
        <v>12</v>
      </c>
      <c r="L240">
        <v>2022</v>
      </c>
    </row>
    <row r="241" spans="1:12" x14ac:dyDescent="0.3">
      <c r="A241" t="s">
        <v>28</v>
      </c>
      <c r="B241">
        <v>29</v>
      </c>
      <c r="C241" t="s">
        <v>29</v>
      </c>
      <c r="D241" t="s">
        <v>251</v>
      </c>
      <c r="E241" t="s">
        <v>187</v>
      </c>
      <c r="F241" t="s">
        <v>188</v>
      </c>
      <c r="G241" t="s">
        <v>17</v>
      </c>
      <c r="H241">
        <v>0</v>
      </c>
      <c r="I241">
        <v>181914</v>
      </c>
      <c r="J241">
        <v>14065468</v>
      </c>
      <c r="K241">
        <v>5</v>
      </c>
      <c r="L241">
        <v>2022</v>
      </c>
    </row>
    <row r="242" spans="1:12" x14ac:dyDescent="0.3">
      <c r="A242" t="s">
        <v>58</v>
      </c>
      <c r="B242">
        <v>27</v>
      </c>
      <c r="C242" t="s">
        <v>59</v>
      </c>
      <c r="D242" t="s">
        <v>131</v>
      </c>
      <c r="E242" t="s">
        <v>52</v>
      </c>
      <c r="F242" t="s">
        <v>53</v>
      </c>
      <c r="G242" t="s">
        <v>17</v>
      </c>
      <c r="H242">
        <v>0</v>
      </c>
      <c r="I242">
        <v>11691076</v>
      </c>
      <c r="J242">
        <v>833967691</v>
      </c>
      <c r="K242">
        <v>9</v>
      </c>
      <c r="L242">
        <v>2019</v>
      </c>
    </row>
    <row r="243" spans="1:12" x14ac:dyDescent="0.3">
      <c r="A243" t="s">
        <v>33</v>
      </c>
      <c r="B243">
        <v>32</v>
      </c>
      <c r="C243" t="s">
        <v>316</v>
      </c>
      <c r="D243" t="s">
        <v>68</v>
      </c>
      <c r="E243" t="s">
        <v>36</v>
      </c>
      <c r="F243" t="s">
        <v>37</v>
      </c>
      <c r="G243" t="s">
        <v>17</v>
      </c>
      <c r="H243">
        <v>0</v>
      </c>
      <c r="I243">
        <v>1880</v>
      </c>
      <c r="J243">
        <v>137750</v>
      </c>
      <c r="K243">
        <v>5</v>
      </c>
      <c r="L243">
        <v>2021</v>
      </c>
    </row>
    <row r="244" spans="1:12" x14ac:dyDescent="0.3">
      <c r="A244" t="s">
        <v>58</v>
      </c>
      <c r="B244">
        <v>27</v>
      </c>
      <c r="C244" t="s">
        <v>125</v>
      </c>
      <c r="D244" t="s">
        <v>194</v>
      </c>
      <c r="E244" t="s">
        <v>95</v>
      </c>
      <c r="F244" t="s">
        <v>96</v>
      </c>
      <c r="G244" t="s">
        <v>17</v>
      </c>
      <c r="H244">
        <v>0</v>
      </c>
      <c r="I244">
        <v>55447</v>
      </c>
      <c r="J244">
        <v>4127558</v>
      </c>
      <c r="K244">
        <v>1</v>
      </c>
      <c r="L244">
        <v>2022</v>
      </c>
    </row>
    <row r="245" spans="1:12" x14ac:dyDescent="0.3">
      <c r="A245" t="s">
        <v>132</v>
      </c>
      <c r="B245">
        <v>19</v>
      </c>
      <c r="C245" t="s">
        <v>133</v>
      </c>
      <c r="D245" t="s">
        <v>108</v>
      </c>
      <c r="E245" t="s">
        <v>335</v>
      </c>
      <c r="F245" t="s">
        <v>507</v>
      </c>
      <c r="G245" t="s">
        <v>17</v>
      </c>
      <c r="H245">
        <v>0</v>
      </c>
      <c r="I245">
        <v>11840</v>
      </c>
      <c r="J245">
        <v>762200</v>
      </c>
      <c r="K245">
        <v>2</v>
      </c>
      <c r="L245">
        <v>2018</v>
      </c>
    </row>
    <row r="246" spans="1:12" x14ac:dyDescent="0.3">
      <c r="A246" t="s">
        <v>28</v>
      </c>
      <c r="B246">
        <v>29</v>
      </c>
      <c r="C246" t="s">
        <v>236</v>
      </c>
      <c r="D246" t="s">
        <v>515</v>
      </c>
      <c r="E246" t="s">
        <v>135</v>
      </c>
      <c r="F246" t="s">
        <v>136</v>
      </c>
      <c r="G246" t="s">
        <v>17</v>
      </c>
      <c r="H246">
        <v>0</v>
      </c>
      <c r="I246">
        <v>15834</v>
      </c>
      <c r="J246">
        <v>1137704</v>
      </c>
      <c r="K246">
        <v>11</v>
      </c>
      <c r="L246">
        <v>2018</v>
      </c>
    </row>
    <row r="247" spans="1:12" x14ac:dyDescent="0.3">
      <c r="A247" t="s">
        <v>47</v>
      </c>
      <c r="B247">
        <v>7</v>
      </c>
      <c r="C247" t="s">
        <v>509</v>
      </c>
      <c r="D247" t="s">
        <v>14</v>
      </c>
      <c r="E247" t="s">
        <v>61</v>
      </c>
      <c r="F247" t="s">
        <v>62</v>
      </c>
      <c r="G247" t="s">
        <v>17</v>
      </c>
      <c r="H247">
        <v>0</v>
      </c>
      <c r="I247">
        <v>13448</v>
      </c>
      <c r="J247">
        <v>1108989</v>
      </c>
      <c r="K247">
        <v>12</v>
      </c>
      <c r="L247">
        <v>2022</v>
      </c>
    </row>
    <row r="248" spans="1:12" x14ac:dyDescent="0.3">
      <c r="A248" t="s">
        <v>132</v>
      </c>
      <c r="B248">
        <v>19</v>
      </c>
      <c r="C248" t="s">
        <v>133</v>
      </c>
      <c r="D248" t="s">
        <v>153</v>
      </c>
      <c r="E248" t="s">
        <v>154</v>
      </c>
      <c r="F248" t="s">
        <v>155</v>
      </c>
      <c r="G248" t="s">
        <v>17</v>
      </c>
      <c r="H248">
        <v>0</v>
      </c>
      <c r="I248">
        <v>9302</v>
      </c>
      <c r="J248">
        <v>777593</v>
      </c>
      <c r="K248">
        <v>7</v>
      </c>
      <c r="L248">
        <v>2024</v>
      </c>
    </row>
    <row r="249" spans="1:12" x14ac:dyDescent="0.3">
      <c r="A249" t="s">
        <v>58</v>
      </c>
      <c r="B249">
        <v>27</v>
      </c>
      <c r="C249" t="s">
        <v>59</v>
      </c>
      <c r="D249" t="s">
        <v>172</v>
      </c>
      <c r="E249" t="s">
        <v>282</v>
      </c>
      <c r="F249" t="s">
        <v>283</v>
      </c>
      <c r="G249" t="s">
        <v>17</v>
      </c>
      <c r="H249">
        <v>0</v>
      </c>
      <c r="I249">
        <v>652323</v>
      </c>
      <c r="J249">
        <v>50437134</v>
      </c>
      <c r="K249">
        <v>5</v>
      </c>
      <c r="L249">
        <v>2022</v>
      </c>
    </row>
    <row r="250" spans="1:12" x14ac:dyDescent="0.3">
      <c r="A250" t="s">
        <v>28</v>
      </c>
      <c r="B250">
        <v>29</v>
      </c>
      <c r="C250" t="s">
        <v>236</v>
      </c>
      <c r="D250" t="s">
        <v>303</v>
      </c>
      <c r="E250" t="s">
        <v>21</v>
      </c>
      <c r="F250" t="s">
        <v>22</v>
      </c>
      <c r="G250" t="s">
        <v>17</v>
      </c>
      <c r="H250">
        <v>0</v>
      </c>
      <c r="I250">
        <v>30864</v>
      </c>
      <c r="J250">
        <v>2271368</v>
      </c>
      <c r="K250">
        <v>12</v>
      </c>
      <c r="L250">
        <v>2020</v>
      </c>
    </row>
    <row r="251" spans="1:12" x14ac:dyDescent="0.3">
      <c r="A251" t="s">
        <v>28</v>
      </c>
      <c r="B251">
        <v>29</v>
      </c>
      <c r="C251" t="s">
        <v>584</v>
      </c>
      <c r="D251" t="s">
        <v>35</v>
      </c>
      <c r="E251" t="s">
        <v>278</v>
      </c>
      <c r="F251" t="s">
        <v>279</v>
      </c>
      <c r="G251" t="s">
        <v>17</v>
      </c>
      <c r="H251">
        <v>0</v>
      </c>
      <c r="I251">
        <v>770</v>
      </c>
      <c r="J251">
        <v>50534</v>
      </c>
      <c r="K251">
        <v>4</v>
      </c>
      <c r="L251">
        <v>2018</v>
      </c>
    </row>
    <row r="252" spans="1:12" x14ac:dyDescent="0.3">
      <c r="A252" t="s">
        <v>23</v>
      </c>
      <c r="B252">
        <v>24</v>
      </c>
      <c r="C252" t="s">
        <v>24</v>
      </c>
      <c r="D252" t="s">
        <v>231</v>
      </c>
      <c r="E252" t="s">
        <v>543</v>
      </c>
      <c r="F252" t="s">
        <v>544</v>
      </c>
      <c r="G252" t="s">
        <v>17</v>
      </c>
      <c r="H252">
        <v>0</v>
      </c>
      <c r="I252">
        <v>27908</v>
      </c>
      <c r="J252">
        <v>2294954</v>
      </c>
      <c r="K252">
        <v>6</v>
      </c>
      <c r="L252">
        <v>2023</v>
      </c>
    </row>
    <row r="253" spans="1:12" x14ac:dyDescent="0.3">
      <c r="A253" t="s">
        <v>137</v>
      </c>
      <c r="B253">
        <v>36</v>
      </c>
      <c r="C253" t="s">
        <v>148</v>
      </c>
      <c r="D253" t="s">
        <v>190</v>
      </c>
      <c r="E253" t="s">
        <v>318</v>
      </c>
      <c r="F253" t="s">
        <v>319</v>
      </c>
      <c r="G253" t="s">
        <v>17</v>
      </c>
      <c r="H253">
        <v>0</v>
      </c>
      <c r="I253">
        <v>2927</v>
      </c>
      <c r="J253">
        <v>242343</v>
      </c>
      <c r="K253">
        <v>8</v>
      </c>
      <c r="L253">
        <v>2023</v>
      </c>
    </row>
    <row r="254" spans="1:12" x14ac:dyDescent="0.3">
      <c r="A254" t="s">
        <v>132</v>
      </c>
      <c r="B254">
        <v>19</v>
      </c>
      <c r="C254" t="s">
        <v>133</v>
      </c>
      <c r="D254" t="s">
        <v>190</v>
      </c>
      <c r="E254" t="s">
        <v>278</v>
      </c>
      <c r="F254" t="s">
        <v>279</v>
      </c>
      <c r="G254" t="s">
        <v>17</v>
      </c>
      <c r="H254">
        <v>0</v>
      </c>
      <c r="I254">
        <v>7020</v>
      </c>
      <c r="J254">
        <v>578927</v>
      </c>
      <c r="K254">
        <v>12</v>
      </c>
      <c r="L254">
        <v>2022</v>
      </c>
    </row>
    <row r="255" spans="1:12" x14ac:dyDescent="0.3">
      <c r="A255" t="s">
        <v>12</v>
      </c>
      <c r="B255">
        <v>8</v>
      </c>
      <c r="C255" t="s">
        <v>165</v>
      </c>
      <c r="D255" t="s">
        <v>20</v>
      </c>
      <c r="E255" t="s">
        <v>282</v>
      </c>
      <c r="F255" t="s">
        <v>283</v>
      </c>
      <c r="G255" t="s">
        <v>17</v>
      </c>
      <c r="H255">
        <v>0</v>
      </c>
      <c r="I255">
        <v>112083</v>
      </c>
      <c r="J255">
        <v>9355709</v>
      </c>
      <c r="K255">
        <v>6</v>
      </c>
      <c r="L255">
        <v>2024</v>
      </c>
    </row>
    <row r="256" spans="1:12" x14ac:dyDescent="0.3">
      <c r="A256" t="s">
        <v>58</v>
      </c>
      <c r="B256">
        <v>27</v>
      </c>
      <c r="C256" t="s">
        <v>59</v>
      </c>
      <c r="D256" t="s">
        <v>35</v>
      </c>
      <c r="E256" t="s">
        <v>150</v>
      </c>
      <c r="F256" t="s">
        <v>151</v>
      </c>
      <c r="G256" t="s">
        <v>17</v>
      </c>
      <c r="H256">
        <v>0</v>
      </c>
      <c r="I256">
        <v>2862450</v>
      </c>
      <c r="J256">
        <v>204632226</v>
      </c>
      <c r="K256">
        <v>2</v>
      </c>
      <c r="L256">
        <v>2020</v>
      </c>
    </row>
    <row r="257" spans="1:12" x14ac:dyDescent="0.3">
      <c r="A257" t="s">
        <v>132</v>
      </c>
      <c r="B257">
        <v>19</v>
      </c>
      <c r="C257" t="s">
        <v>133</v>
      </c>
      <c r="D257" t="s">
        <v>30</v>
      </c>
      <c r="E257" t="s">
        <v>52</v>
      </c>
      <c r="F257" t="s">
        <v>53</v>
      </c>
      <c r="G257" t="s">
        <v>17</v>
      </c>
      <c r="H257">
        <v>0</v>
      </c>
      <c r="I257">
        <v>1682</v>
      </c>
      <c r="J257">
        <v>114016</v>
      </c>
      <c r="K257">
        <v>6</v>
      </c>
      <c r="L257">
        <v>2018</v>
      </c>
    </row>
    <row r="258" spans="1:12" x14ac:dyDescent="0.3">
      <c r="A258" t="s">
        <v>33</v>
      </c>
      <c r="B258">
        <v>32</v>
      </c>
      <c r="C258" t="s">
        <v>214</v>
      </c>
      <c r="D258" t="s">
        <v>194</v>
      </c>
      <c r="E258" t="s">
        <v>45</v>
      </c>
      <c r="F258" t="s">
        <v>46</v>
      </c>
      <c r="G258" t="s">
        <v>17</v>
      </c>
      <c r="H258">
        <v>0</v>
      </c>
      <c r="I258">
        <v>67045</v>
      </c>
      <c r="J258">
        <v>4877961</v>
      </c>
      <c r="K258">
        <v>2</v>
      </c>
      <c r="L258">
        <v>2021</v>
      </c>
    </row>
    <row r="259" spans="1:12" x14ac:dyDescent="0.3">
      <c r="A259" t="s">
        <v>47</v>
      </c>
      <c r="B259">
        <v>7</v>
      </c>
      <c r="C259" t="s">
        <v>48</v>
      </c>
      <c r="D259" t="s">
        <v>551</v>
      </c>
      <c r="E259" t="s">
        <v>86</v>
      </c>
      <c r="F259" t="s">
        <v>548</v>
      </c>
      <c r="G259" t="s">
        <v>17</v>
      </c>
      <c r="H259">
        <v>0</v>
      </c>
      <c r="I259">
        <v>19031</v>
      </c>
      <c r="J259">
        <v>1346101</v>
      </c>
      <c r="K259">
        <v>1</v>
      </c>
      <c r="L259">
        <v>2019</v>
      </c>
    </row>
    <row r="260" spans="1:12" x14ac:dyDescent="0.3">
      <c r="A260" t="s">
        <v>58</v>
      </c>
      <c r="B260">
        <v>27</v>
      </c>
      <c r="C260" t="s">
        <v>125</v>
      </c>
      <c r="D260" t="s">
        <v>25</v>
      </c>
      <c r="E260" t="s">
        <v>52</v>
      </c>
      <c r="F260" t="s">
        <v>53</v>
      </c>
      <c r="G260" t="s">
        <v>17</v>
      </c>
      <c r="H260">
        <v>0</v>
      </c>
      <c r="I260">
        <v>12355</v>
      </c>
      <c r="J260">
        <v>1032795</v>
      </c>
      <c r="K260">
        <v>7</v>
      </c>
      <c r="L260">
        <v>2024</v>
      </c>
    </row>
    <row r="261" spans="1:12" x14ac:dyDescent="0.3">
      <c r="A261" t="s">
        <v>275</v>
      </c>
      <c r="B261">
        <v>28</v>
      </c>
      <c r="C261" t="s">
        <v>516</v>
      </c>
      <c r="D261" t="s">
        <v>263</v>
      </c>
      <c r="E261" t="s">
        <v>52</v>
      </c>
      <c r="F261" t="s">
        <v>53</v>
      </c>
      <c r="G261" t="s">
        <v>17</v>
      </c>
      <c r="H261">
        <v>0</v>
      </c>
      <c r="I261">
        <v>18</v>
      </c>
      <c r="J261">
        <v>1424</v>
      </c>
      <c r="K261">
        <v>6</v>
      </c>
      <c r="L261">
        <v>2022</v>
      </c>
    </row>
    <row r="262" spans="1:12" x14ac:dyDescent="0.3">
      <c r="A262" t="s">
        <v>33</v>
      </c>
      <c r="B262">
        <v>32</v>
      </c>
      <c r="C262" t="s">
        <v>561</v>
      </c>
      <c r="D262" t="s">
        <v>251</v>
      </c>
      <c r="E262" t="s">
        <v>195</v>
      </c>
      <c r="F262" t="s">
        <v>196</v>
      </c>
      <c r="G262" t="s">
        <v>17</v>
      </c>
      <c r="H262">
        <v>0</v>
      </c>
      <c r="I262">
        <v>3920</v>
      </c>
      <c r="J262">
        <v>326424</v>
      </c>
      <c r="K262">
        <v>12</v>
      </c>
      <c r="L262">
        <v>2023</v>
      </c>
    </row>
    <row r="263" spans="1:12" x14ac:dyDescent="0.3">
      <c r="A263" t="s">
        <v>47</v>
      </c>
      <c r="B263">
        <v>7</v>
      </c>
      <c r="C263" t="s">
        <v>509</v>
      </c>
      <c r="D263" t="s">
        <v>153</v>
      </c>
      <c r="E263" t="s">
        <v>157</v>
      </c>
      <c r="F263" t="s">
        <v>158</v>
      </c>
      <c r="G263" t="s">
        <v>17</v>
      </c>
      <c r="H263">
        <v>0</v>
      </c>
      <c r="I263">
        <v>486906</v>
      </c>
      <c r="J263">
        <v>35597369</v>
      </c>
      <c r="K263">
        <v>1</v>
      </c>
      <c r="L263">
        <v>2021</v>
      </c>
    </row>
    <row r="264" spans="1:12" x14ac:dyDescent="0.3">
      <c r="A264" t="s">
        <v>47</v>
      </c>
      <c r="B264">
        <v>7</v>
      </c>
      <c r="C264" t="s">
        <v>509</v>
      </c>
      <c r="D264" t="s">
        <v>90</v>
      </c>
      <c r="E264" t="s">
        <v>227</v>
      </c>
      <c r="F264" t="s">
        <v>228</v>
      </c>
      <c r="G264" t="s">
        <v>17</v>
      </c>
      <c r="H264">
        <v>0</v>
      </c>
      <c r="I264">
        <v>680379</v>
      </c>
      <c r="J264">
        <v>56469838</v>
      </c>
      <c r="K264">
        <v>3</v>
      </c>
      <c r="L264">
        <v>2024</v>
      </c>
    </row>
    <row r="265" spans="1:12" x14ac:dyDescent="0.3">
      <c r="A265" t="s">
        <v>73</v>
      </c>
      <c r="B265">
        <v>3</v>
      </c>
      <c r="C265" t="s">
        <v>74</v>
      </c>
      <c r="D265" t="s">
        <v>515</v>
      </c>
      <c r="E265" t="s">
        <v>82</v>
      </c>
      <c r="F265" t="s">
        <v>83</v>
      </c>
      <c r="G265" t="s">
        <v>17</v>
      </c>
      <c r="H265">
        <v>0</v>
      </c>
      <c r="I265">
        <v>60939</v>
      </c>
      <c r="J265">
        <v>5014561</v>
      </c>
      <c r="K265">
        <v>3</v>
      </c>
      <c r="L265">
        <v>2023</v>
      </c>
    </row>
    <row r="266" spans="1:12" x14ac:dyDescent="0.3">
      <c r="A266" t="s">
        <v>28</v>
      </c>
      <c r="B266">
        <v>29</v>
      </c>
      <c r="C266" t="s">
        <v>236</v>
      </c>
      <c r="D266" t="s">
        <v>294</v>
      </c>
      <c r="E266" t="s">
        <v>157</v>
      </c>
      <c r="F266" t="s">
        <v>158</v>
      </c>
      <c r="G266" t="s">
        <v>17</v>
      </c>
      <c r="H266">
        <v>0</v>
      </c>
      <c r="I266">
        <v>13430</v>
      </c>
      <c r="J266">
        <v>996784</v>
      </c>
      <c r="K266">
        <v>11</v>
      </c>
      <c r="L266">
        <v>2020</v>
      </c>
    </row>
    <row r="267" spans="1:12" x14ac:dyDescent="0.3">
      <c r="A267" t="s">
        <v>12</v>
      </c>
      <c r="B267">
        <v>8</v>
      </c>
      <c r="C267" t="s">
        <v>165</v>
      </c>
      <c r="D267" t="s">
        <v>217</v>
      </c>
      <c r="E267" t="s">
        <v>146</v>
      </c>
      <c r="F267" t="s">
        <v>147</v>
      </c>
      <c r="G267" t="s">
        <v>17</v>
      </c>
      <c r="H267">
        <v>0</v>
      </c>
      <c r="I267">
        <v>60582</v>
      </c>
      <c r="J267">
        <v>4353077</v>
      </c>
      <c r="K267">
        <v>11</v>
      </c>
      <c r="L267">
        <v>2018</v>
      </c>
    </row>
    <row r="268" spans="1:12" x14ac:dyDescent="0.3">
      <c r="A268" t="s">
        <v>79</v>
      </c>
      <c r="B268">
        <v>9</v>
      </c>
      <c r="C268" t="s">
        <v>585</v>
      </c>
      <c r="D268" t="s">
        <v>90</v>
      </c>
      <c r="E268" t="s">
        <v>187</v>
      </c>
      <c r="F268" t="s">
        <v>188</v>
      </c>
      <c r="G268" t="s">
        <v>17</v>
      </c>
      <c r="H268">
        <v>0</v>
      </c>
      <c r="I268">
        <v>29610</v>
      </c>
      <c r="J268">
        <v>2475261</v>
      </c>
      <c r="K268">
        <v>7</v>
      </c>
      <c r="L268">
        <v>2024</v>
      </c>
    </row>
    <row r="269" spans="1:12" x14ac:dyDescent="0.3">
      <c r="A269" t="s">
        <v>58</v>
      </c>
      <c r="B269">
        <v>27</v>
      </c>
      <c r="C269" t="s">
        <v>586</v>
      </c>
      <c r="D269" t="s">
        <v>105</v>
      </c>
      <c r="E269" t="s">
        <v>244</v>
      </c>
      <c r="F269" t="s">
        <v>245</v>
      </c>
      <c r="G269" t="s">
        <v>17</v>
      </c>
      <c r="H269">
        <v>0</v>
      </c>
      <c r="I269">
        <v>44639</v>
      </c>
      <c r="J269">
        <v>3581424</v>
      </c>
      <c r="K269">
        <v>9</v>
      </c>
      <c r="L269">
        <v>2022</v>
      </c>
    </row>
    <row r="270" spans="1:12" x14ac:dyDescent="0.3">
      <c r="A270" t="s">
        <v>58</v>
      </c>
      <c r="B270">
        <v>27</v>
      </c>
      <c r="C270" t="s">
        <v>59</v>
      </c>
      <c r="D270" t="s">
        <v>142</v>
      </c>
      <c r="E270" t="s">
        <v>543</v>
      </c>
      <c r="F270" t="s">
        <v>544</v>
      </c>
      <c r="G270" t="s">
        <v>17</v>
      </c>
      <c r="H270">
        <v>0</v>
      </c>
      <c r="I270">
        <v>131796</v>
      </c>
      <c r="J270">
        <v>10574165</v>
      </c>
      <c r="K270">
        <v>9</v>
      </c>
      <c r="L270">
        <v>2022</v>
      </c>
    </row>
    <row r="271" spans="1:12" x14ac:dyDescent="0.3">
      <c r="A271" t="s">
        <v>28</v>
      </c>
      <c r="B271">
        <v>29</v>
      </c>
      <c r="C271" t="s">
        <v>236</v>
      </c>
      <c r="D271" t="s">
        <v>105</v>
      </c>
      <c r="E271" t="s">
        <v>157</v>
      </c>
      <c r="F271" t="s">
        <v>158</v>
      </c>
      <c r="G271" t="s">
        <v>17</v>
      </c>
      <c r="H271">
        <v>0</v>
      </c>
      <c r="I271">
        <v>1878</v>
      </c>
      <c r="J271">
        <v>139339</v>
      </c>
      <c r="K271">
        <v>8</v>
      </c>
      <c r="L271">
        <v>2021</v>
      </c>
    </row>
    <row r="272" spans="1:12" x14ac:dyDescent="0.3">
      <c r="A272" t="s">
        <v>58</v>
      </c>
      <c r="B272">
        <v>27</v>
      </c>
      <c r="C272" t="s">
        <v>59</v>
      </c>
      <c r="D272" t="s">
        <v>515</v>
      </c>
      <c r="E272" t="s">
        <v>168</v>
      </c>
      <c r="F272" t="s">
        <v>169</v>
      </c>
      <c r="G272" t="s">
        <v>17</v>
      </c>
      <c r="H272">
        <v>0</v>
      </c>
      <c r="I272">
        <v>283705</v>
      </c>
      <c r="J272">
        <v>22570166</v>
      </c>
      <c r="K272">
        <v>8</v>
      </c>
      <c r="L272">
        <v>2022</v>
      </c>
    </row>
    <row r="273" spans="1:12" x14ac:dyDescent="0.3">
      <c r="A273" t="s">
        <v>58</v>
      </c>
      <c r="B273">
        <v>27</v>
      </c>
      <c r="C273" t="s">
        <v>125</v>
      </c>
      <c r="D273" t="s">
        <v>294</v>
      </c>
      <c r="E273" t="s">
        <v>127</v>
      </c>
      <c r="F273" t="s">
        <v>128</v>
      </c>
      <c r="G273" t="s">
        <v>17</v>
      </c>
      <c r="H273">
        <v>0</v>
      </c>
      <c r="I273">
        <v>96195</v>
      </c>
      <c r="J273">
        <v>7284566</v>
      </c>
      <c r="K273">
        <v>6</v>
      </c>
      <c r="L273">
        <v>2020</v>
      </c>
    </row>
    <row r="274" spans="1:12" x14ac:dyDescent="0.3">
      <c r="A274" t="s">
        <v>33</v>
      </c>
      <c r="B274">
        <v>32</v>
      </c>
      <c r="C274" t="s">
        <v>214</v>
      </c>
      <c r="D274" t="s">
        <v>90</v>
      </c>
      <c r="E274" t="s">
        <v>77</v>
      </c>
      <c r="F274" t="s">
        <v>78</v>
      </c>
      <c r="G274" t="s">
        <v>17</v>
      </c>
      <c r="H274">
        <v>0</v>
      </c>
      <c r="I274">
        <v>340015</v>
      </c>
      <c r="J274">
        <v>24154442</v>
      </c>
      <c r="K274">
        <v>10</v>
      </c>
      <c r="L274">
        <v>2019</v>
      </c>
    </row>
    <row r="275" spans="1:12" x14ac:dyDescent="0.3">
      <c r="A275" t="s">
        <v>137</v>
      </c>
      <c r="B275">
        <v>36</v>
      </c>
      <c r="C275" t="s">
        <v>587</v>
      </c>
      <c r="D275" t="s">
        <v>108</v>
      </c>
      <c r="E275" t="s">
        <v>86</v>
      </c>
      <c r="F275" t="s">
        <v>548</v>
      </c>
      <c r="G275" t="s">
        <v>17</v>
      </c>
      <c r="H275">
        <v>0</v>
      </c>
      <c r="I275">
        <v>26231</v>
      </c>
      <c r="J275">
        <v>1824240</v>
      </c>
      <c r="K275">
        <v>8</v>
      </c>
      <c r="L275">
        <v>2018</v>
      </c>
    </row>
    <row r="276" spans="1:12" x14ac:dyDescent="0.3">
      <c r="A276" t="s">
        <v>18</v>
      </c>
      <c r="B276">
        <v>6</v>
      </c>
      <c r="C276" t="s">
        <v>233</v>
      </c>
      <c r="D276" t="s">
        <v>90</v>
      </c>
      <c r="E276" t="s">
        <v>239</v>
      </c>
      <c r="F276" t="s">
        <v>240</v>
      </c>
      <c r="G276" t="s">
        <v>17</v>
      </c>
      <c r="H276">
        <v>0</v>
      </c>
      <c r="I276">
        <v>7233</v>
      </c>
      <c r="J276">
        <v>591747</v>
      </c>
      <c r="K276">
        <v>11</v>
      </c>
      <c r="L276">
        <v>2022</v>
      </c>
    </row>
    <row r="277" spans="1:12" x14ac:dyDescent="0.3">
      <c r="A277" t="s">
        <v>47</v>
      </c>
      <c r="B277">
        <v>7</v>
      </c>
      <c r="C277" t="s">
        <v>48</v>
      </c>
      <c r="D277" t="s">
        <v>20</v>
      </c>
      <c r="E277" t="s">
        <v>15</v>
      </c>
      <c r="F277" t="s">
        <v>359</v>
      </c>
      <c r="G277" t="s">
        <v>17</v>
      </c>
      <c r="H277">
        <v>0</v>
      </c>
      <c r="I277">
        <v>95544</v>
      </c>
      <c r="J277">
        <v>7277409</v>
      </c>
      <c r="K277">
        <v>4</v>
      </c>
      <c r="L277">
        <v>2022</v>
      </c>
    </row>
    <row r="278" spans="1:12" x14ac:dyDescent="0.3">
      <c r="A278" t="s">
        <v>28</v>
      </c>
      <c r="B278">
        <v>29</v>
      </c>
      <c r="C278" t="s">
        <v>236</v>
      </c>
      <c r="D278" t="s">
        <v>20</v>
      </c>
      <c r="E278" t="s">
        <v>106</v>
      </c>
      <c r="F278" t="s">
        <v>558</v>
      </c>
      <c r="G278" t="s">
        <v>17</v>
      </c>
      <c r="H278">
        <v>0</v>
      </c>
      <c r="I278">
        <v>169163</v>
      </c>
      <c r="J278">
        <v>12896424</v>
      </c>
      <c r="K278">
        <v>4</v>
      </c>
      <c r="L278">
        <v>2020</v>
      </c>
    </row>
    <row r="279" spans="1:12" x14ac:dyDescent="0.3">
      <c r="A279" t="s">
        <v>58</v>
      </c>
      <c r="B279">
        <v>27</v>
      </c>
      <c r="C279" t="s">
        <v>125</v>
      </c>
      <c r="D279" t="s">
        <v>237</v>
      </c>
      <c r="E279" t="s">
        <v>146</v>
      </c>
      <c r="F279" t="s">
        <v>147</v>
      </c>
      <c r="G279" t="s">
        <v>17</v>
      </c>
      <c r="H279">
        <v>0</v>
      </c>
      <c r="I279">
        <v>45585</v>
      </c>
      <c r="J279">
        <v>3353159</v>
      </c>
      <c r="K279">
        <v>6</v>
      </c>
      <c r="L279">
        <v>2021</v>
      </c>
    </row>
    <row r="280" spans="1:12" x14ac:dyDescent="0.3">
      <c r="A280" t="s">
        <v>58</v>
      </c>
      <c r="B280">
        <v>27</v>
      </c>
      <c r="C280" t="s">
        <v>556</v>
      </c>
      <c r="D280" t="s">
        <v>35</v>
      </c>
      <c r="E280" t="s">
        <v>140</v>
      </c>
      <c r="F280" t="s">
        <v>554</v>
      </c>
      <c r="G280" t="s">
        <v>17</v>
      </c>
      <c r="H280">
        <v>0</v>
      </c>
      <c r="I280">
        <v>606</v>
      </c>
      <c r="J280">
        <v>42269</v>
      </c>
      <c r="K280">
        <v>5</v>
      </c>
      <c r="L280">
        <v>2019</v>
      </c>
    </row>
    <row r="281" spans="1:12" x14ac:dyDescent="0.3">
      <c r="A281" t="s">
        <v>132</v>
      </c>
      <c r="B281">
        <v>19</v>
      </c>
      <c r="C281" t="s">
        <v>588</v>
      </c>
      <c r="D281" t="s">
        <v>224</v>
      </c>
      <c r="E281" t="s">
        <v>116</v>
      </c>
      <c r="F281" t="s">
        <v>117</v>
      </c>
      <c r="G281" t="s">
        <v>17</v>
      </c>
      <c r="H281">
        <v>0</v>
      </c>
      <c r="I281">
        <v>5179042</v>
      </c>
      <c r="J281">
        <v>381144359</v>
      </c>
      <c r="K281">
        <v>12</v>
      </c>
      <c r="L281">
        <v>2020</v>
      </c>
    </row>
    <row r="282" spans="1:12" x14ac:dyDescent="0.3">
      <c r="A282" t="s">
        <v>137</v>
      </c>
      <c r="B282">
        <v>36</v>
      </c>
      <c r="C282" t="s">
        <v>148</v>
      </c>
      <c r="D282" t="s">
        <v>153</v>
      </c>
      <c r="E282" t="s">
        <v>31</v>
      </c>
      <c r="F282" t="s">
        <v>32</v>
      </c>
      <c r="G282" t="s">
        <v>17</v>
      </c>
      <c r="H282">
        <v>0</v>
      </c>
      <c r="I282">
        <v>65144</v>
      </c>
      <c r="J282">
        <v>5425070</v>
      </c>
      <c r="K282">
        <v>12</v>
      </c>
      <c r="L282">
        <v>2023</v>
      </c>
    </row>
    <row r="283" spans="1:12" x14ac:dyDescent="0.3">
      <c r="A283" t="s">
        <v>28</v>
      </c>
      <c r="B283">
        <v>29</v>
      </c>
      <c r="C283" t="s">
        <v>236</v>
      </c>
      <c r="D283" t="s">
        <v>193</v>
      </c>
      <c r="E283" t="s">
        <v>127</v>
      </c>
      <c r="F283" t="s">
        <v>128</v>
      </c>
      <c r="G283" t="s">
        <v>17</v>
      </c>
      <c r="H283">
        <v>0</v>
      </c>
      <c r="I283">
        <v>261046</v>
      </c>
      <c r="J283">
        <v>18213956</v>
      </c>
      <c r="K283">
        <v>5</v>
      </c>
      <c r="L283">
        <v>2019</v>
      </c>
    </row>
    <row r="284" spans="1:12" x14ac:dyDescent="0.3">
      <c r="A284" t="s">
        <v>132</v>
      </c>
      <c r="B284">
        <v>19</v>
      </c>
      <c r="C284" t="s">
        <v>209</v>
      </c>
      <c r="D284" t="s">
        <v>190</v>
      </c>
      <c r="E284" t="s">
        <v>121</v>
      </c>
      <c r="F284" t="s">
        <v>122</v>
      </c>
      <c r="G284" t="s">
        <v>17</v>
      </c>
      <c r="H284">
        <v>0</v>
      </c>
      <c r="I284">
        <v>119391</v>
      </c>
      <c r="J284">
        <v>9905054</v>
      </c>
      <c r="K284">
        <v>2</v>
      </c>
      <c r="L284">
        <v>2024</v>
      </c>
    </row>
    <row r="285" spans="1:12" x14ac:dyDescent="0.3">
      <c r="A285" t="s">
        <v>58</v>
      </c>
      <c r="B285">
        <v>27</v>
      </c>
      <c r="C285" t="s">
        <v>310</v>
      </c>
      <c r="D285" t="s">
        <v>131</v>
      </c>
      <c r="E285" t="s">
        <v>335</v>
      </c>
      <c r="F285" t="s">
        <v>507</v>
      </c>
      <c r="G285" t="s">
        <v>17</v>
      </c>
      <c r="H285">
        <v>0</v>
      </c>
      <c r="I285">
        <v>70770</v>
      </c>
      <c r="J285">
        <v>4645084</v>
      </c>
      <c r="K285">
        <v>4</v>
      </c>
      <c r="L285">
        <v>2018</v>
      </c>
    </row>
    <row r="286" spans="1:12" x14ac:dyDescent="0.3">
      <c r="A286" t="s">
        <v>79</v>
      </c>
      <c r="B286">
        <v>9</v>
      </c>
      <c r="C286" t="s">
        <v>351</v>
      </c>
      <c r="D286" t="s">
        <v>131</v>
      </c>
      <c r="E286" t="s">
        <v>86</v>
      </c>
      <c r="F286" t="s">
        <v>548</v>
      </c>
      <c r="G286" t="s">
        <v>17</v>
      </c>
      <c r="H286">
        <v>0</v>
      </c>
      <c r="I286">
        <v>103874</v>
      </c>
      <c r="J286">
        <v>7644476</v>
      </c>
      <c r="K286">
        <v>12</v>
      </c>
      <c r="L286">
        <v>2020</v>
      </c>
    </row>
    <row r="287" spans="1:12" x14ac:dyDescent="0.3">
      <c r="A287" t="s">
        <v>28</v>
      </c>
      <c r="B287">
        <v>29</v>
      </c>
      <c r="C287" t="s">
        <v>29</v>
      </c>
      <c r="D287" t="s">
        <v>153</v>
      </c>
      <c r="E287" t="s">
        <v>26</v>
      </c>
      <c r="F287" t="s">
        <v>27</v>
      </c>
      <c r="G287" t="s">
        <v>17</v>
      </c>
      <c r="H287">
        <v>0</v>
      </c>
      <c r="I287">
        <v>10680413</v>
      </c>
      <c r="J287">
        <v>856906574</v>
      </c>
      <c r="K287">
        <v>9</v>
      </c>
      <c r="L287">
        <v>2022</v>
      </c>
    </row>
    <row r="288" spans="1:12" x14ac:dyDescent="0.3">
      <c r="A288" t="s">
        <v>137</v>
      </c>
      <c r="B288">
        <v>36</v>
      </c>
      <c r="C288" t="s">
        <v>148</v>
      </c>
      <c r="D288" t="s">
        <v>327</v>
      </c>
      <c r="E288" t="s">
        <v>258</v>
      </c>
      <c r="F288" t="s">
        <v>259</v>
      </c>
      <c r="G288" t="s">
        <v>17</v>
      </c>
      <c r="H288">
        <v>0</v>
      </c>
      <c r="I288">
        <v>11221</v>
      </c>
      <c r="J288">
        <v>918025</v>
      </c>
      <c r="K288">
        <v>11</v>
      </c>
      <c r="L288">
        <v>2022</v>
      </c>
    </row>
    <row r="289" spans="1:12" x14ac:dyDescent="0.3">
      <c r="A289" t="s">
        <v>23</v>
      </c>
      <c r="B289">
        <v>24</v>
      </c>
      <c r="C289" t="s">
        <v>38</v>
      </c>
      <c r="D289" t="s">
        <v>263</v>
      </c>
      <c r="E289" t="s">
        <v>77</v>
      </c>
      <c r="F289" t="s">
        <v>78</v>
      </c>
      <c r="G289" t="s">
        <v>17</v>
      </c>
      <c r="H289">
        <v>0</v>
      </c>
      <c r="I289">
        <v>885</v>
      </c>
      <c r="J289">
        <v>60811</v>
      </c>
      <c r="K289">
        <v>7</v>
      </c>
      <c r="L289">
        <v>2018</v>
      </c>
    </row>
    <row r="290" spans="1:12" x14ac:dyDescent="0.3">
      <c r="A290" t="s">
        <v>12</v>
      </c>
      <c r="B290">
        <v>8</v>
      </c>
      <c r="C290" t="s">
        <v>426</v>
      </c>
      <c r="D290" t="s">
        <v>35</v>
      </c>
      <c r="E290" t="s">
        <v>173</v>
      </c>
      <c r="F290" t="s">
        <v>174</v>
      </c>
      <c r="G290" t="s">
        <v>17</v>
      </c>
      <c r="H290">
        <v>0</v>
      </c>
      <c r="I290">
        <v>682</v>
      </c>
      <c r="J290">
        <v>48264</v>
      </c>
      <c r="K290">
        <v>12</v>
      </c>
      <c r="L290">
        <v>2018</v>
      </c>
    </row>
    <row r="291" spans="1:12" x14ac:dyDescent="0.3">
      <c r="A291" t="s">
        <v>23</v>
      </c>
      <c r="B291">
        <v>24</v>
      </c>
      <c r="C291" t="s">
        <v>218</v>
      </c>
      <c r="D291" t="s">
        <v>350</v>
      </c>
      <c r="E291" t="s">
        <v>127</v>
      </c>
      <c r="F291" t="s">
        <v>128</v>
      </c>
      <c r="G291" t="s">
        <v>17</v>
      </c>
      <c r="H291">
        <v>0</v>
      </c>
      <c r="I291">
        <v>15561</v>
      </c>
      <c r="J291">
        <v>1238667</v>
      </c>
      <c r="K291">
        <v>7</v>
      </c>
      <c r="L291">
        <v>2022</v>
      </c>
    </row>
    <row r="292" spans="1:12" x14ac:dyDescent="0.3">
      <c r="A292" t="s">
        <v>79</v>
      </c>
      <c r="B292">
        <v>9</v>
      </c>
      <c r="C292" t="s">
        <v>189</v>
      </c>
      <c r="D292" t="s">
        <v>90</v>
      </c>
      <c r="E292" t="s">
        <v>335</v>
      </c>
      <c r="F292" t="s">
        <v>507</v>
      </c>
      <c r="G292" t="s">
        <v>17</v>
      </c>
      <c r="H292">
        <v>0</v>
      </c>
      <c r="I292">
        <v>616038</v>
      </c>
      <c r="J292">
        <v>46432291</v>
      </c>
      <c r="K292">
        <v>12</v>
      </c>
      <c r="L292">
        <v>2021</v>
      </c>
    </row>
    <row r="293" spans="1:12" x14ac:dyDescent="0.3">
      <c r="A293" t="s">
        <v>132</v>
      </c>
      <c r="B293">
        <v>19</v>
      </c>
      <c r="C293" t="s">
        <v>133</v>
      </c>
      <c r="D293" t="s">
        <v>35</v>
      </c>
      <c r="E293" t="s">
        <v>52</v>
      </c>
      <c r="F293" t="s">
        <v>53</v>
      </c>
      <c r="G293" t="s">
        <v>17</v>
      </c>
      <c r="H293">
        <v>0</v>
      </c>
      <c r="I293">
        <v>12865</v>
      </c>
      <c r="J293">
        <v>958365</v>
      </c>
      <c r="K293">
        <v>11</v>
      </c>
      <c r="L293">
        <v>2021</v>
      </c>
    </row>
    <row r="294" spans="1:12" x14ac:dyDescent="0.3">
      <c r="A294" t="s">
        <v>47</v>
      </c>
      <c r="B294">
        <v>7</v>
      </c>
      <c r="C294" t="s">
        <v>48</v>
      </c>
      <c r="D294" t="s">
        <v>280</v>
      </c>
      <c r="E294" t="s">
        <v>127</v>
      </c>
      <c r="F294" t="s">
        <v>128</v>
      </c>
      <c r="G294" t="s">
        <v>17</v>
      </c>
      <c r="H294">
        <v>0</v>
      </c>
      <c r="I294">
        <v>120795</v>
      </c>
      <c r="J294">
        <v>8311687</v>
      </c>
      <c r="K294">
        <v>7</v>
      </c>
      <c r="L294">
        <v>2019</v>
      </c>
    </row>
    <row r="295" spans="1:12" x14ac:dyDescent="0.3">
      <c r="A295" t="s">
        <v>12</v>
      </c>
      <c r="B295">
        <v>8</v>
      </c>
      <c r="C295" t="s">
        <v>326</v>
      </c>
      <c r="D295" t="s">
        <v>90</v>
      </c>
      <c r="E295" t="s">
        <v>146</v>
      </c>
      <c r="F295" t="s">
        <v>147</v>
      </c>
      <c r="G295" t="s">
        <v>17</v>
      </c>
      <c r="H295">
        <v>0</v>
      </c>
      <c r="I295">
        <v>1967</v>
      </c>
      <c r="J295">
        <v>163750</v>
      </c>
      <c r="K295">
        <v>10</v>
      </c>
      <c r="L295">
        <v>2023</v>
      </c>
    </row>
    <row r="296" spans="1:12" x14ac:dyDescent="0.3">
      <c r="A296" t="s">
        <v>47</v>
      </c>
      <c r="B296">
        <v>7</v>
      </c>
      <c r="C296" t="s">
        <v>48</v>
      </c>
      <c r="D296" t="s">
        <v>35</v>
      </c>
      <c r="E296" t="s">
        <v>61</v>
      </c>
      <c r="F296" t="s">
        <v>62</v>
      </c>
      <c r="G296" t="s">
        <v>17</v>
      </c>
      <c r="H296">
        <v>0</v>
      </c>
      <c r="I296">
        <v>1122382</v>
      </c>
      <c r="J296">
        <v>89343446</v>
      </c>
      <c r="K296">
        <v>7</v>
      </c>
      <c r="L296">
        <v>2022</v>
      </c>
    </row>
    <row r="297" spans="1:12" x14ac:dyDescent="0.3">
      <c r="A297" t="s">
        <v>73</v>
      </c>
      <c r="B297">
        <v>3</v>
      </c>
      <c r="C297" t="s">
        <v>314</v>
      </c>
      <c r="D297" t="s">
        <v>241</v>
      </c>
      <c r="E297" t="s">
        <v>61</v>
      </c>
      <c r="F297" t="s">
        <v>62</v>
      </c>
      <c r="G297" t="s">
        <v>17</v>
      </c>
      <c r="H297">
        <v>0</v>
      </c>
      <c r="I297">
        <v>652</v>
      </c>
      <c r="J297">
        <v>45281</v>
      </c>
      <c r="K297">
        <v>6</v>
      </c>
      <c r="L297">
        <v>2019</v>
      </c>
    </row>
    <row r="298" spans="1:12" x14ac:dyDescent="0.3">
      <c r="A298" t="s">
        <v>28</v>
      </c>
      <c r="B298">
        <v>29</v>
      </c>
      <c r="C298" t="s">
        <v>236</v>
      </c>
      <c r="D298" t="s">
        <v>145</v>
      </c>
      <c r="E298" t="s">
        <v>123</v>
      </c>
      <c r="F298" t="s">
        <v>553</v>
      </c>
      <c r="G298" t="s">
        <v>17</v>
      </c>
      <c r="H298">
        <v>0</v>
      </c>
      <c r="I298">
        <v>39427</v>
      </c>
      <c r="J298">
        <v>2672897</v>
      </c>
      <c r="K298">
        <v>6</v>
      </c>
      <c r="L298">
        <v>2018</v>
      </c>
    </row>
    <row r="299" spans="1:12" x14ac:dyDescent="0.3">
      <c r="A299" t="s">
        <v>58</v>
      </c>
      <c r="B299">
        <v>27</v>
      </c>
      <c r="C299" t="s">
        <v>125</v>
      </c>
      <c r="D299" t="s">
        <v>60</v>
      </c>
      <c r="E299" t="s">
        <v>61</v>
      </c>
      <c r="F299" t="s">
        <v>62</v>
      </c>
      <c r="G299" t="s">
        <v>17</v>
      </c>
      <c r="H299">
        <v>0</v>
      </c>
      <c r="I299">
        <v>718</v>
      </c>
      <c r="J299">
        <v>49842</v>
      </c>
      <c r="K299">
        <v>4</v>
      </c>
      <c r="L299">
        <v>2019</v>
      </c>
    </row>
    <row r="300" spans="1:12" x14ac:dyDescent="0.3">
      <c r="A300" t="s">
        <v>137</v>
      </c>
      <c r="B300">
        <v>36</v>
      </c>
      <c r="C300" t="s">
        <v>523</v>
      </c>
      <c r="D300" t="s">
        <v>30</v>
      </c>
      <c r="E300" t="s">
        <v>195</v>
      </c>
      <c r="F300" t="s">
        <v>196</v>
      </c>
      <c r="G300" t="s">
        <v>17</v>
      </c>
      <c r="H300">
        <v>0</v>
      </c>
      <c r="I300">
        <v>183</v>
      </c>
      <c r="J300">
        <v>15130</v>
      </c>
      <c r="K300">
        <v>8</v>
      </c>
      <c r="L300">
        <v>2023</v>
      </c>
    </row>
    <row r="301" spans="1:12" x14ac:dyDescent="0.3">
      <c r="A301" t="s">
        <v>47</v>
      </c>
      <c r="B301">
        <v>7</v>
      </c>
      <c r="C301" t="s">
        <v>48</v>
      </c>
      <c r="D301" t="s">
        <v>263</v>
      </c>
      <c r="E301" t="s">
        <v>150</v>
      </c>
      <c r="F301" t="s">
        <v>151</v>
      </c>
      <c r="G301" t="s">
        <v>17</v>
      </c>
      <c r="H301">
        <v>0</v>
      </c>
      <c r="I301">
        <v>15847</v>
      </c>
      <c r="J301">
        <v>1132905</v>
      </c>
      <c r="K301">
        <v>2</v>
      </c>
      <c r="L301">
        <v>2020</v>
      </c>
    </row>
    <row r="302" spans="1:12" x14ac:dyDescent="0.3">
      <c r="A302" t="s">
        <v>28</v>
      </c>
      <c r="B302">
        <v>29</v>
      </c>
      <c r="C302" t="s">
        <v>236</v>
      </c>
      <c r="D302" t="s">
        <v>118</v>
      </c>
      <c r="E302" t="s">
        <v>157</v>
      </c>
      <c r="F302" t="s">
        <v>158</v>
      </c>
      <c r="G302" t="s">
        <v>17</v>
      </c>
      <c r="H302">
        <v>0</v>
      </c>
      <c r="I302">
        <v>217525</v>
      </c>
      <c r="J302">
        <v>18046644</v>
      </c>
      <c r="K302">
        <v>2</v>
      </c>
      <c r="L302">
        <v>2024</v>
      </c>
    </row>
    <row r="303" spans="1:12" x14ac:dyDescent="0.3">
      <c r="A303" t="s">
        <v>47</v>
      </c>
      <c r="B303">
        <v>7</v>
      </c>
      <c r="C303" t="s">
        <v>48</v>
      </c>
      <c r="D303" t="s">
        <v>108</v>
      </c>
      <c r="E303" t="s">
        <v>52</v>
      </c>
      <c r="F303" t="s">
        <v>53</v>
      </c>
      <c r="G303" t="s">
        <v>17</v>
      </c>
      <c r="H303">
        <v>0</v>
      </c>
      <c r="I303">
        <v>297561</v>
      </c>
      <c r="J303">
        <v>22123844</v>
      </c>
      <c r="K303">
        <v>3</v>
      </c>
      <c r="L303">
        <v>2020</v>
      </c>
    </row>
    <row r="304" spans="1:12" x14ac:dyDescent="0.3">
      <c r="A304" t="s">
        <v>28</v>
      </c>
      <c r="B304">
        <v>29</v>
      </c>
      <c r="C304" t="s">
        <v>584</v>
      </c>
      <c r="D304" t="s">
        <v>30</v>
      </c>
      <c r="E304" t="s">
        <v>61</v>
      </c>
      <c r="F304" t="s">
        <v>62</v>
      </c>
      <c r="G304" t="s">
        <v>17</v>
      </c>
      <c r="H304">
        <v>0</v>
      </c>
      <c r="I304">
        <v>18123</v>
      </c>
      <c r="J304">
        <v>1350128</v>
      </c>
      <c r="K304">
        <v>11</v>
      </c>
      <c r="L304">
        <v>2021</v>
      </c>
    </row>
    <row r="305" spans="1:12" x14ac:dyDescent="0.3">
      <c r="A305" t="s">
        <v>58</v>
      </c>
      <c r="B305">
        <v>27</v>
      </c>
      <c r="C305" t="s">
        <v>59</v>
      </c>
      <c r="D305" t="s">
        <v>317</v>
      </c>
      <c r="E305" t="s">
        <v>127</v>
      </c>
      <c r="F305" t="s">
        <v>128</v>
      </c>
      <c r="G305" t="s">
        <v>17</v>
      </c>
      <c r="H305">
        <v>0</v>
      </c>
      <c r="I305">
        <v>14028</v>
      </c>
      <c r="J305">
        <v>1002860</v>
      </c>
      <c r="K305">
        <v>2</v>
      </c>
      <c r="L305">
        <v>2020</v>
      </c>
    </row>
    <row r="306" spans="1:12" x14ac:dyDescent="0.3">
      <c r="A306" t="s">
        <v>23</v>
      </c>
      <c r="B306">
        <v>24</v>
      </c>
      <c r="C306" t="s">
        <v>235</v>
      </c>
      <c r="D306" t="s">
        <v>529</v>
      </c>
      <c r="E306" t="s">
        <v>106</v>
      </c>
      <c r="F306" t="s">
        <v>558</v>
      </c>
      <c r="G306" t="s">
        <v>17</v>
      </c>
      <c r="H306">
        <v>0</v>
      </c>
      <c r="I306">
        <v>243932</v>
      </c>
      <c r="J306">
        <v>17527540</v>
      </c>
      <c r="K306">
        <v>11</v>
      </c>
      <c r="L306">
        <v>2018</v>
      </c>
    </row>
    <row r="307" spans="1:12" x14ac:dyDescent="0.3">
      <c r="A307" t="s">
        <v>47</v>
      </c>
      <c r="B307">
        <v>7</v>
      </c>
      <c r="C307" t="s">
        <v>509</v>
      </c>
      <c r="D307" t="s">
        <v>231</v>
      </c>
      <c r="E307" t="s">
        <v>106</v>
      </c>
      <c r="F307" t="s">
        <v>558</v>
      </c>
      <c r="G307" t="s">
        <v>17</v>
      </c>
      <c r="H307">
        <v>0</v>
      </c>
      <c r="I307">
        <v>5941</v>
      </c>
      <c r="J307">
        <v>440728</v>
      </c>
      <c r="K307">
        <v>8</v>
      </c>
      <c r="L307">
        <v>2021</v>
      </c>
    </row>
    <row r="308" spans="1:12" x14ac:dyDescent="0.3">
      <c r="A308" t="s">
        <v>23</v>
      </c>
      <c r="B308">
        <v>24</v>
      </c>
      <c r="C308" t="s">
        <v>218</v>
      </c>
      <c r="D308" t="s">
        <v>131</v>
      </c>
      <c r="E308" t="s">
        <v>95</v>
      </c>
      <c r="F308" t="s">
        <v>96</v>
      </c>
      <c r="G308" t="s">
        <v>17</v>
      </c>
      <c r="H308">
        <v>0</v>
      </c>
      <c r="I308">
        <v>33957</v>
      </c>
      <c r="J308">
        <v>2527832</v>
      </c>
      <c r="K308">
        <v>1</v>
      </c>
      <c r="L308">
        <v>2022</v>
      </c>
    </row>
    <row r="309" spans="1:12" x14ac:dyDescent="0.3">
      <c r="A309" t="s">
        <v>79</v>
      </c>
      <c r="B309">
        <v>9</v>
      </c>
      <c r="C309" t="s">
        <v>351</v>
      </c>
      <c r="D309" t="s">
        <v>237</v>
      </c>
      <c r="E309" t="s">
        <v>335</v>
      </c>
      <c r="F309" t="s">
        <v>507</v>
      </c>
      <c r="G309" t="s">
        <v>17</v>
      </c>
      <c r="H309">
        <v>0</v>
      </c>
      <c r="I309">
        <v>176971</v>
      </c>
      <c r="J309">
        <v>12882216</v>
      </c>
      <c r="K309">
        <v>3</v>
      </c>
      <c r="L309">
        <v>2021</v>
      </c>
    </row>
    <row r="310" spans="1:12" x14ac:dyDescent="0.3">
      <c r="A310" t="s">
        <v>33</v>
      </c>
      <c r="B310">
        <v>32</v>
      </c>
      <c r="C310" t="s">
        <v>561</v>
      </c>
      <c r="D310" t="s">
        <v>589</v>
      </c>
      <c r="E310" t="s">
        <v>56</v>
      </c>
      <c r="F310" t="s">
        <v>57</v>
      </c>
      <c r="G310" t="s">
        <v>17</v>
      </c>
      <c r="H310">
        <v>0</v>
      </c>
      <c r="I310">
        <v>86228</v>
      </c>
      <c r="J310">
        <v>5606641</v>
      </c>
      <c r="K310">
        <v>3</v>
      </c>
      <c r="L310">
        <v>2018</v>
      </c>
    </row>
    <row r="311" spans="1:12" x14ac:dyDescent="0.3">
      <c r="A311" t="s">
        <v>28</v>
      </c>
      <c r="B311">
        <v>29</v>
      </c>
      <c r="C311" t="s">
        <v>236</v>
      </c>
      <c r="D311" t="s">
        <v>90</v>
      </c>
      <c r="E311" t="s">
        <v>579</v>
      </c>
      <c r="F311" t="s">
        <v>580</v>
      </c>
      <c r="G311" t="s">
        <v>17</v>
      </c>
      <c r="H311">
        <v>0</v>
      </c>
      <c r="I311">
        <v>2356</v>
      </c>
      <c r="J311">
        <v>168033</v>
      </c>
      <c r="K311">
        <v>1</v>
      </c>
      <c r="L311">
        <v>2020</v>
      </c>
    </row>
    <row r="312" spans="1:12" x14ac:dyDescent="0.3">
      <c r="A312" t="s">
        <v>18</v>
      </c>
      <c r="B312">
        <v>6</v>
      </c>
      <c r="C312" t="s">
        <v>254</v>
      </c>
      <c r="D312" t="s">
        <v>142</v>
      </c>
      <c r="E312" t="s">
        <v>146</v>
      </c>
      <c r="F312" t="s">
        <v>147</v>
      </c>
      <c r="G312" t="s">
        <v>17</v>
      </c>
      <c r="H312">
        <v>0</v>
      </c>
      <c r="I312">
        <v>32864</v>
      </c>
      <c r="J312">
        <v>2741031</v>
      </c>
      <c r="K312">
        <v>4</v>
      </c>
      <c r="L312">
        <v>2024</v>
      </c>
    </row>
    <row r="313" spans="1:12" x14ac:dyDescent="0.3">
      <c r="A313" t="s">
        <v>23</v>
      </c>
      <c r="B313">
        <v>24</v>
      </c>
      <c r="C313" t="s">
        <v>517</v>
      </c>
      <c r="D313" t="s">
        <v>35</v>
      </c>
      <c r="E313" t="s">
        <v>15</v>
      </c>
      <c r="F313" t="s">
        <v>359</v>
      </c>
      <c r="G313" t="s">
        <v>17</v>
      </c>
      <c r="H313">
        <v>0</v>
      </c>
      <c r="I313">
        <v>83</v>
      </c>
      <c r="J313">
        <v>6072</v>
      </c>
      <c r="K313">
        <v>9</v>
      </c>
      <c r="L313">
        <v>2020</v>
      </c>
    </row>
    <row r="314" spans="1:12" x14ac:dyDescent="0.3">
      <c r="A314" t="s">
        <v>33</v>
      </c>
      <c r="B314">
        <v>32</v>
      </c>
      <c r="C314" t="s">
        <v>316</v>
      </c>
      <c r="D314" t="s">
        <v>265</v>
      </c>
      <c r="E314" t="s">
        <v>26</v>
      </c>
      <c r="F314" t="s">
        <v>27</v>
      </c>
      <c r="G314" t="s">
        <v>17</v>
      </c>
      <c r="H314">
        <v>0</v>
      </c>
      <c r="I314">
        <v>6666</v>
      </c>
      <c r="J314">
        <v>479001</v>
      </c>
      <c r="K314">
        <v>11</v>
      </c>
      <c r="L314">
        <v>2018</v>
      </c>
    </row>
    <row r="315" spans="1:12" x14ac:dyDescent="0.3">
      <c r="A315" t="s">
        <v>28</v>
      </c>
      <c r="B315">
        <v>29</v>
      </c>
      <c r="C315" t="s">
        <v>29</v>
      </c>
      <c r="D315" t="s">
        <v>25</v>
      </c>
      <c r="E315" t="s">
        <v>86</v>
      </c>
      <c r="F315" t="s">
        <v>548</v>
      </c>
      <c r="G315" t="s">
        <v>17</v>
      </c>
      <c r="H315">
        <v>0</v>
      </c>
      <c r="I315">
        <v>54419</v>
      </c>
      <c r="J315">
        <v>3978545</v>
      </c>
      <c r="K315">
        <v>1</v>
      </c>
      <c r="L315">
        <v>2021</v>
      </c>
    </row>
    <row r="316" spans="1:12" x14ac:dyDescent="0.3">
      <c r="A316" t="s">
        <v>58</v>
      </c>
      <c r="B316">
        <v>27</v>
      </c>
      <c r="C316" t="s">
        <v>125</v>
      </c>
      <c r="D316" t="s">
        <v>108</v>
      </c>
      <c r="E316" t="s">
        <v>187</v>
      </c>
      <c r="F316" t="s">
        <v>188</v>
      </c>
      <c r="G316" t="s">
        <v>17</v>
      </c>
      <c r="H316">
        <v>0</v>
      </c>
      <c r="I316">
        <v>110843</v>
      </c>
      <c r="J316">
        <v>7874237</v>
      </c>
      <c r="K316">
        <v>10</v>
      </c>
      <c r="L316">
        <v>2019</v>
      </c>
    </row>
    <row r="317" spans="1:12" x14ac:dyDescent="0.3">
      <c r="A317" t="s">
        <v>58</v>
      </c>
      <c r="B317">
        <v>27</v>
      </c>
      <c r="C317" t="s">
        <v>59</v>
      </c>
      <c r="D317" t="s">
        <v>105</v>
      </c>
      <c r="E317" t="s">
        <v>195</v>
      </c>
      <c r="F317" t="s">
        <v>196</v>
      </c>
      <c r="G317" t="s">
        <v>17</v>
      </c>
      <c r="H317">
        <v>0</v>
      </c>
      <c r="I317">
        <v>1047760</v>
      </c>
      <c r="J317">
        <v>86402612</v>
      </c>
      <c r="K317">
        <v>12</v>
      </c>
      <c r="L317">
        <v>2022</v>
      </c>
    </row>
    <row r="318" spans="1:12" x14ac:dyDescent="0.3">
      <c r="A318" t="s">
        <v>23</v>
      </c>
      <c r="B318">
        <v>24</v>
      </c>
      <c r="C318" t="s">
        <v>484</v>
      </c>
      <c r="D318" t="s">
        <v>172</v>
      </c>
      <c r="E318" t="s">
        <v>52</v>
      </c>
      <c r="F318" t="s">
        <v>53</v>
      </c>
      <c r="G318" t="s">
        <v>17</v>
      </c>
      <c r="H318">
        <v>0</v>
      </c>
      <c r="I318">
        <v>35816</v>
      </c>
      <c r="J318">
        <v>2949216</v>
      </c>
      <c r="K318">
        <v>5</v>
      </c>
      <c r="L318">
        <v>2023</v>
      </c>
    </row>
    <row r="319" spans="1:12" x14ac:dyDescent="0.3">
      <c r="A319" t="s">
        <v>28</v>
      </c>
      <c r="B319">
        <v>29</v>
      </c>
      <c r="C319" t="s">
        <v>29</v>
      </c>
      <c r="D319" t="s">
        <v>231</v>
      </c>
      <c r="E319" t="s">
        <v>15</v>
      </c>
      <c r="F319" t="s">
        <v>359</v>
      </c>
      <c r="G319" t="s">
        <v>17</v>
      </c>
      <c r="H319">
        <v>0</v>
      </c>
      <c r="I319">
        <v>354</v>
      </c>
      <c r="J319">
        <v>23921</v>
      </c>
      <c r="K319">
        <v>5</v>
      </c>
      <c r="L319">
        <v>2018</v>
      </c>
    </row>
    <row r="320" spans="1:12" x14ac:dyDescent="0.3">
      <c r="A320" t="s">
        <v>132</v>
      </c>
      <c r="B320">
        <v>19</v>
      </c>
      <c r="C320" t="s">
        <v>133</v>
      </c>
      <c r="D320" t="s">
        <v>303</v>
      </c>
      <c r="E320" t="s">
        <v>248</v>
      </c>
      <c r="F320" t="s">
        <v>249</v>
      </c>
      <c r="G320" t="s">
        <v>17</v>
      </c>
      <c r="H320">
        <v>0</v>
      </c>
      <c r="I320">
        <v>116</v>
      </c>
      <c r="J320">
        <v>9492</v>
      </c>
      <c r="K320">
        <v>1</v>
      </c>
      <c r="L320">
        <v>2023</v>
      </c>
    </row>
    <row r="321" spans="1:12" x14ac:dyDescent="0.3">
      <c r="A321" t="s">
        <v>23</v>
      </c>
      <c r="B321">
        <v>24</v>
      </c>
      <c r="C321" t="s">
        <v>199</v>
      </c>
      <c r="D321" t="s">
        <v>131</v>
      </c>
      <c r="E321" t="s">
        <v>157</v>
      </c>
      <c r="F321" t="s">
        <v>158</v>
      </c>
      <c r="G321" t="s">
        <v>17</v>
      </c>
      <c r="H321">
        <v>0</v>
      </c>
      <c r="I321">
        <v>51824</v>
      </c>
      <c r="J321">
        <v>3598575</v>
      </c>
      <c r="K321">
        <v>6</v>
      </c>
      <c r="L321">
        <v>2019</v>
      </c>
    </row>
    <row r="322" spans="1:12" x14ac:dyDescent="0.3">
      <c r="A322" t="s">
        <v>275</v>
      </c>
      <c r="B322">
        <v>28</v>
      </c>
      <c r="C322" t="s">
        <v>518</v>
      </c>
      <c r="D322" t="s">
        <v>131</v>
      </c>
      <c r="E322" t="s">
        <v>15</v>
      </c>
      <c r="F322" t="s">
        <v>359</v>
      </c>
      <c r="G322" t="s">
        <v>17</v>
      </c>
      <c r="H322">
        <v>0</v>
      </c>
      <c r="I322">
        <v>14756</v>
      </c>
      <c r="J322">
        <v>1106752</v>
      </c>
      <c r="K322">
        <v>2</v>
      </c>
      <c r="L322">
        <v>2022</v>
      </c>
    </row>
    <row r="323" spans="1:12" x14ac:dyDescent="0.3">
      <c r="A323" t="s">
        <v>47</v>
      </c>
      <c r="B323">
        <v>7</v>
      </c>
      <c r="C323" t="s">
        <v>48</v>
      </c>
      <c r="D323" t="s">
        <v>294</v>
      </c>
      <c r="E323" t="s">
        <v>187</v>
      </c>
      <c r="F323" t="s">
        <v>188</v>
      </c>
      <c r="G323" t="s">
        <v>17</v>
      </c>
      <c r="H323">
        <v>0</v>
      </c>
      <c r="I323">
        <v>43934</v>
      </c>
      <c r="J323">
        <v>3127795</v>
      </c>
      <c r="K323">
        <v>12</v>
      </c>
      <c r="L323">
        <v>2019</v>
      </c>
    </row>
    <row r="324" spans="1:12" x14ac:dyDescent="0.3">
      <c r="A324" t="s">
        <v>132</v>
      </c>
      <c r="B324">
        <v>19</v>
      </c>
      <c r="C324" t="s">
        <v>133</v>
      </c>
      <c r="D324" t="s">
        <v>105</v>
      </c>
      <c r="E324" t="s">
        <v>140</v>
      </c>
      <c r="F324" t="s">
        <v>554</v>
      </c>
      <c r="G324" t="s">
        <v>17</v>
      </c>
      <c r="H324">
        <v>0</v>
      </c>
      <c r="I324">
        <v>3144</v>
      </c>
      <c r="J324">
        <v>252223</v>
      </c>
      <c r="K324">
        <v>9</v>
      </c>
      <c r="L324">
        <v>2022</v>
      </c>
    </row>
    <row r="325" spans="1:12" x14ac:dyDescent="0.3">
      <c r="A325" t="s">
        <v>275</v>
      </c>
      <c r="B325">
        <v>28</v>
      </c>
      <c r="C325" t="s">
        <v>574</v>
      </c>
      <c r="D325" t="s">
        <v>35</v>
      </c>
      <c r="E325" t="s">
        <v>358</v>
      </c>
      <c r="F325" t="s">
        <v>359</v>
      </c>
      <c r="G325" t="s">
        <v>360</v>
      </c>
      <c r="H325">
        <v>0</v>
      </c>
      <c r="I325">
        <v>15655</v>
      </c>
      <c r="J325">
        <v>1139567</v>
      </c>
      <c r="K325">
        <v>3</v>
      </c>
      <c r="L325">
        <v>2021</v>
      </c>
    </row>
    <row r="326" spans="1:12" x14ac:dyDescent="0.3">
      <c r="A326" t="s">
        <v>42</v>
      </c>
      <c r="B326">
        <v>33</v>
      </c>
      <c r="C326" t="s">
        <v>111</v>
      </c>
      <c r="D326" t="s">
        <v>557</v>
      </c>
      <c r="E326" t="s">
        <v>398</v>
      </c>
      <c r="F326" t="s">
        <v>399</v>
      </c>
      <c r="G326" t="s">
        <v>360</v>
      </c>
      <c r="H326">
        <v>0</v>
      </c>
      <c r="I326">
        <v>5</v>
      </c>
      <c r="J326">
        <v>404</v>
      </c>
      <c r="K326">
        <v>8</v>
      </c>
      <c r="L326">
        <v>2022</v>
      </c>
    </row>
    <row r="327" spans="1:12" x14ac:dyDescent="0.3">
      <c r="A327" t="s">
        <v>23</v>
      </c>
      <c r="B327">
        <v>24</v>
      </c>
      <c r="C327" t="s">
        <v>218</v>
      </c>
      <c r="D327" t="s">
        <v>251</v>
      </c>
      <c r="E327" t="s">
        <v>366</v>
      </c>
      <c r="F327" t="s">
        <v>367</v>
      </c>
      <c r="G327" t="s">
        <v>360</v>
      </c>
      <c r="H327">
        <v>0</v>
      </c>
      <c r="I327">
        <v>4140</v>
      </c>
      <c r="J327">
        <v>320134</v>
      </c>
      <c r="K327">
        <v>5</v>
      </c>
      <c r="L327">
        <v>2022</v>
      </c>
    </row>
    <row r="328" spans="1:12" x14ac:dyDescent="0.3">
      <c r="A328" t="s">
        <v>58</v>
      </c>
      <c r="B328">
        <v>27</v>
      </c>
      <c r="C328" t="s">
        <v>216</v>
      </c>
      <c r="D328" t="s">
        <v>190</v>
      </c>
      <c r="E328" t="s">
        <v>366</v>
      </c>
      <c r="F328" t="s">
        <v>367</v>
      </c>
      <c r="G328" t="s">
        <v>360</v>
      </c>
      <c r="H328">
        <v>0</v>
      </c>
      <c r="I328">
        <v>189</v>
      </c>
      <c r="J328">
        <v>15502</v>
      </c>
      <c r="K328">
        <v>6</v>
      </c>
      <c r="L328">
        <v>2023</v>
      </c>
    </row>
    <row r="329" spans="1:12" x14ac:dyDescent="0.3">
      <c r="A329" t="s">
        <v>42</v>
      </c>
      <c r="B329">
        <v>33</v>
      </c>
      <c r="C329" t="s">
        <v>111</v>
      </c>
      <c r="D329" t="s">
        <v>105</v>
      </c>
      <c r="E329" t="s">
        <v>519</v>
      </c>
      <c r="F329" t="s">
        <v>520</v>
      </c>
      <c r="G329" t="s">
        <v>360</v>
      </c>
      <c r="H329">
        <v>0</v>
      </c>
      <c r="I329">
        <v>4050</v>
      </c>
      <c r="J329">
        <v>289347</v>
      </c>
      <c r="K329">
        <v>11</v>
      </c>
      <c r="L329">
        <v>2019</v>
      </c>
    </row>
    <row r="330" spans="1:12" x14ac:dyDescent="0.3">
      <c r="A330" t="s">
        <v>275</v>
      </c>
      <c r="B330">
        <v>28</v>
      </c>
      <c r="C330" t="s">
        <v>516</v>
      </c>
      <c r="D330" t="s">
        <v>35</v>
      </c>
      <c r="E330" t="s">
        <v>438</v>
      </c>
      <c r="F330" t="s">
        <v>439</v>
      </c>
      <c r="G330" t="s">
        <v>365</v>
      </c>
      <c r="H330">
        <v>0</v>
      </c>
      <c r="I330">
        <v>261</v>
      </c>
      <c r="J330">
        <v>19650</v>
      </c>
      <c r="K330">
        <v>12</v>
      </c>
      <c r="L330">
        <v>2021</v>
      </c>
    </row>
    <row r="331" spans="1:12" x14ac:dyDescent="0.3">
      <c r="A331" t="s">
        <v>132</v>
      </c>
      <c r="B331">
        <v>19</v>
      </c>
      <c r="C331" t="s">
        <v>133</v>
      </c>
      <c r="D331" t="s">
        <v>108</v>
      </c>
      <c r="E331" t="s">
        <v>421</v>
      </c>
      <c r="F331" t="s">
        <v>422</v>
      </c>
      <c r="G331" t="s">
        <v>360</v>
      </c>
      <c r="H331">
        <v>0</v>
      </c>
      <c r="I331">
        <v>2089</v>
      </c>
      <c r="J331">
        <v>141606</v>
      </c>
      <c r="K331">
        <v>6</v>
      </c>
      <c r="L331">
        <v>2018</v>
      </c>
    </row>
    <row r="332" spans="1:12" x14ac:dyDescent="0.3">
      <c r="A332" t="s">
        <v>58</v>
      </c>
      <c r="B332">
        <v>27</v>
      </c>
      <c r="C332" t="s">
        <v>59</v>
      </c>
      <c r="D332" t="s">
        <v>131</v>
      </c>
      <c r="E332" t="s">
        <v>521</v>
      </c>
      <c r="F332" t="s">
        <v>522</v>
      </c>
      <c r="G332" t="s">
        <v>360</v>
      </c>
      <c r="H332">
        <v>0</v>
      </c>
      <c r="I332">
        <v>2075</v>
      </c>
      <c r="J332">
        <v>147414</v>
      </c>
      <c r="K332">
        <v>10</v>
      </c>
      <c r="L332">
        <v>2019</v>
      </c>
    </row>
    <row r="333" spans="1:12" x14ac:dyDescent="0.3">
      <c r="A333" t="s">
        <v>58</v>
      </c>
      <c r="B333">
        <v>27</v>
      </c>
      <c r="C333" t="s">
        <v>125</v>
      </c>
      <c r="D333" t="s">
        <v>432</v>
      </c>
      <c r="E333" t="s">
        <v>366</v>
      </c>
      <c r="F333" t="s">
        <v>367</v>
      </c>
      <c r="G333" t="s">
        <v>360</v>
      </c>
      <c r="H333">
        <v>0</v>
      </c>
      <c r="I333">
        <v>20</v>
      </c>
      <c r="J333">
        <v>1521</v>
      </c>
      <c r="K333">
        <v>2</v>
      </c>
      <c r="L333">
        <v>2022</v>
      </c>
    </row>
    <row r="334" spans="1:12" x14ac:dyDescent="0.3">
      <c r="A334" t="s">
        <v>42</v>
      </c>
      <c r="B334">
        <v>33</v>
      </c>
      <c r="C334" t="s">
        <v>111</v>
      </c>
      <c r="D334" t="s">
        <v>190</v>
      </c>
      <c r="E334" t="s">
        <v>366</v>
      </c>
      <c r="F334" t="s">
        <v>367</v>
      </c>
      <c r="G334" t="s">
        <v>360</v>
      </c>
      <c r="H334">
        <v>0</v>
      </c>
      <c r="I334">
        <v>5454</v>
      </c>
      <c r="J334">
        <v>409057</v>
      </c>
      <c r="K334">
        <v>2</v>
      </c>
      <c r="L334">
        <v>2022</v>
      </c>
    </row>
    <row r="335" spans="1:12" x14ac:dyDescent="0.3">
      <c r="A335" t="s">
        <v>28</v>
      </c>
      <c r="B335">
        <v>29</v>
      </c>
      <c r="C335" t="s">
        <v>29</v>
      </c>
      <c r="D335" t="s">
        <v>263</v>
      </c>
      <c r="E335" t="s">
        <v>366</v>
      </c>
      <c r="F335" t="s">
        <v>367</v>
      </c>
      <c r="G335" t="s">
        <v>360</v>
      </c>
      <c r="H335">
        <v>0</v>
      </c>
      <c r="I335">
        <v>4</v>
      </c>
      <c r="J335">
        <v>291</v>
      </c>
      <c r="K335">
        <v>7</v>
      </c>
      <c r="L335">
        <v>2022</v>
      </c>
    </row>
    <row r="336" spans="1:12" x14ac:dyDescent="0.3">
      <c r="A336" t="s">
        <v>28</v>
      </c>
      <c r="B336">
        <v>29</v>
      </c>
      <c r="C336" t="s">
        <v>29</v>
      </c>
      <c r="D336" t="s">
        <v>263</v>
      </c>
      <c r="E336" t="s">
        <v>519</v>
      </c>
      <c r="F336" t="s">
        <v>520</v>
      </c>
      <c r="G336" t="s">
        <v>360</v>
      </c>
      <c r="H336">
        <v>0</v>
      </c>
      <c r="I336">
        <v>3771</v>
      </c>
      <c r="J336">
        <v>282783</v>
      </c>
      <c r="K336">
        <v>7</v>
      </c>
      <c r="L336">
        <v>2020</v>
      </c>
    </row>
    <row r="337" spans="1:12" x14ac:dyDescent="0.3">
      <c r="A337" t="s">
        <v>47</v>
      </c>
      <c r="B337">
        <v>7</v>
      </c>
      <c r="C337" t="s">
        <v>51</v>
      </c>
      <c r="D337" t="s">
        <v>30</v>
      </c>
      <c r="E337" t="s">
        <v>385</v>
      </c>
      <c r="F337" t="s">
        <v>386</v>
      </c>
      <c r="G337" t="s">
        <v>360</v>
      </c>
      <c r="H337">
        <v>0</v>
      </c>
      <c r="I337">
        <v>502</v>
      </c>
      <c r="J337">
        <v>37825</v>
      </c>
      <c r="K337">
        <v>12</v>
      </c>
      <c r="L337">
        <v>2021</v>
      </c>
    </row>
    <row r="338" spans="1:12" x14ac:dyDescent="0.3">
      <c r="A338" t="s">
        <v>23</v>
      </c>
      <c r="B338">
        <v>24</v>
      </c>
      <c r="C338" t="s">
        <v>199</v>
      </c>
      <c r="D338" t="s">
        <v>265</v>
      </c>
      <c r="E338" t="s">
        <v>366</v>
      </c>
      <c r="F338" t="s">
        <v>367</v>
      </c>
      <c r="G338" t="s">
        <v>360</v>
      </c>
      <c r="H338">
        <v>0</v>
      </c>
      <c r="I338">
        <v>30</v>
      </c>
      <c r="J338">
        <v>2523</v>
      </c>
      <c r="K338">
        <v>11</v>
      </c>
      <c r="L338">
        <v>2023</v>
      </c>
    </row>
    <row r="339" spans="1:12" x14ac:dyDescent="0.3">
      <c r="A339" t="s">
        <v>33</v>
      </c>
      <c r="B339">
        <v>32</v>
      </c>
      <c r="C339" t="s">
        <v>34</v>
      </c>
      <c r="D339" t="s">
        <v>193</v>
      </c>
      <c r="E339" t="s">
        <v>398</v>
      </c>
      <c r="F339" t="s">
        <v>399</v>
      </c>
      <c r="G339" t="s">
        <v>360</v>
      </c>
      <c r="H339">
        <v>0</v>
      </c>
      <c r="I339">
        <v>489</v>
      </c>
      <c r="J339">
        <v>36689</v>
      </c>
      <c r="K339">
        <v>7</v>
      </c>
      <c r="L339">
        <v>2020</v>
      </c>
    </row>
    <row r="340" spans="1:12" x14ac:dyDescent="0.3">
      <c r="A340" t="s">
        <v>58</v>
      </c>
      <c r="B340">
        <v>27</v>
      </c>
      <c r="C340" t="s">
        <v>310</v>
      </c>
      <c r="D340" t="s">
        <v>35</v>
      </c>
      <c r="E340" t="s">
        <v>421</v>
      </c>
      <c r="F340" t="s">
        <v>422</v>
      </c>
      <c r="G340" t="s">
        <v>360</v>
      </c>
      <c r="H340">
        <v>0</v>
      </c>
      <c r="I340">
        <v>10405</v>
      </c>
      <c r="J340">
        <v>747608</v>
      </c>
      <c r="K340">
        <v>11</v>
      </c>
      <c r="L340">
        <v>2018</v>
      </c>
    </row>
    <row r="341" spans="1:12" x14ac:dyDescent="0.3">
      <c r="A341" t="s">
        <v>137</v>
      </c>
      <c r="B341">
        <v>36</v>
      </c>
      <c r="C341" t="s">
        <v>523</v>
      </c>
      <c r="D341" t="s">
        <v>193</v>
      </c>
      <c r="E341" t="s">
        <v>519</v>
      </c>
      <c r="F341" t="s">
        <v>520</v>
      </c>
      <c r="G341" t="s">
        <v>360</v>
      </c>
      <c r="H341">
        <v>0</v>
      </c>
      <c r="I341">
        <v>30</v>
      </c>
      <c r="J341">
        <v>2261</v>
      </c>
      <c r="K341">
        <v>10</v>
      </c>
      <c r="L341">
        <v>2021</v>
      </c>
    </row>
    <row r="342" spans="1:12" x14ac:dyDescent="0.3">
      <c r="A342" t="s">
        <v>47</v>
      </c>
      <c r="B342">
        <v>7</v>
      </c>
      <c r="C342" t="s">
        <v>51</v>
      </c>
      <c r="D342" t="s">
        <v>153</v>
      </c>
      <c r="E342" t="s">
        <v>358</v>
      </c>
      <c r="F342" t="s">
        <v>359</v>
      </c>
      <c r="G342" t="s">
        <v>360</v>
      </c>
      <c r="H342">
        <v>0</v>
      </c>
      <c r="I342">
        <v>824</v>
      </c>
      <c r="J342">
        <v>68579</v>
      </c>
      <c r="K342">
        <v>10</v>
      </c>
      <c r="L342">
        <v>2023</v>
      </c>
    </row>
    <row r="343" spans="1:12" x14ac:dyDescent="0.3">
      <c r="A343" t="s">
        <v>42</v>
      </c>
      <c r="B343">
        <v>33</v>
      </c>
      <c r="C343" t="s">
        <v>352</v>
      </c>
      <c r="D343" t="s">
        <v>105</v>
      </c>
      <c r="E343" t="s">
        <v>370</v>
      </c>
      <c r="F343" t="s">
        <v>371</v>
      </c>
      <c r="G343" t="s">
        <v>360</v>
      </c>
      <c r="H343">
        <v>0</v>
      </c>
      <c r="I343">
        <v>125</v>
      </c>
      <c r="J343">
        <v>9482</v>
      </c>
      <c r="K343">
        <v>6</v>
      </c>
      <c r="L343">
        <v>2020</v>
      </c>
    </row>
    <row r="344" spans="1:12" x14ac:dyDescent="0.3">
      <c r="A344" t="s">
        <v>33</v>
      </c>
      <c r="B344">
        <v>32</v>
      </c>
      <c r="C344" t="s">
        <v>34</v>
      </c>
      <c r="D344" t="s">
        <v>131</v>
      </c>
      <c r="E344" t="s">
        <v>358</v>
      </c>
      <c r="F344" t="s">
        <v>359</v>
      </c>
      <c r="G344" t="s">
        <v>360</v>
      </c>
      <c r="H344">
        <v>0</v>
      </c>
      <c r="I344">
        <v>1787</v>
      </c>
      <c r="J344">
        <v>130615</v>
      </c>
      <c r="K344">
        <v>1</v>
      </c>
      <c r="L344">
        <v>2021</v>
      </c>
    </row>
    <row r="345" spans="1:12" x14ac:dyDescent="0.3">
      <c r="A345" t="s">
        <v>275</v>
      </c>
      <c r="B345">
        <v>28</v>
      </c>
      <c r="C345" t="s">
        <v>574</v>
      </c>
      <c r="D345" t="s">
        <v>35</v>
      </c>
      <c r="E345" t="s">
        <v>421</v>
      </c>
      <c r="F345" t="s">
        <v>422</v>
      </c>
      <c r="G345" t="s">
        <v>360</v>
      </c>
      <c r="H345">
        <v>0</v>
      </c>
      <c r="I345">
        <v>2289</v>
      </c>
      <c r="J345">
        <v>150271</v>
      </c>
      <c r="K345">
        <v>4</v>
      </c>
      <c r="L345">
        <v>2018</v>
      </c>
    </row>
    <row r="346" spans="1:12" x14ac:dyDescent="0.3">
      <c r="A346" t="s">
        <v>42</v>
      </c>
      <c r="B346">
        <v>33</v>
      </c>
      <c r="C346" t="s">
        <v>111</v>
      </c>
      <c r="D346" t="s">
        <v>508</v>
      </c>
      <c r="E346" t="s">
        <v>375</v>
      </c>
      <c r="F346" t="s">
        <v>376</v>
      </c>
      <c r="G346" t="s">
        <v>365</v>
      </c>
      <c r="H346">
        <v>0</v>
      </c>
      <c r="I346">
        <v>13</v>
      </c>
      <c r="J346">
        <v>1065</v>
      </c>
      <c r="K346">
        <v>12</v>
      </c>
      <c r="L346">
        <v>2022</v>
      </c>
    </row>
    <row r="347" spans="1:12" x14ac:dyDescent="0.3">
      <c r="A347" t="s">
        <v>42</v>
      </c>
      <c r="B347">
        <v>33</v>
      </c>
      <c r="C347" t="s">
        <v>111</v>
      </c>
      <c r="D347" t="s">
        <v>251</v>
      </c>
      <c r="E347" t="s">
        <v>398</v>
      </c>
      <c r="F347" t="s">
        <v>399</v>
      </c>
      <c r="G347" t="s">
        <v>360</v>
      </c>
      <c r="H347">
        <v>0</v>
      </c>
      <c r="I347">
        <v>5776</v>
      </c>
      <c r="J347">
        <v>408523</v>
      </c>
      <c r="K347">
        <v>12</v>
      </c>
      <c r="L347">
        <v>2018</v>
      </c>
    </row>
    <row r="348" spans="1:12" x14ac:dyDescent="0.3">
      <c r="A348" t="s">
        <v>137</v>
      </c>
      <c r="B348">
        <v>36</v>
      </c>
      <c r="C348" t="s">
        <v>148</v>
      </c>
      <c r="D348" t="s">
        <v>234</v>
      </c>
      <c r="E348" t="s">
        <v>438</v>
      </c>
      <c r="F348" t="s">
        <v>439</v>
      </c>
      <c r="G348" t="s">
        <v>365</v>
      </c>
      <c r="H348">
        <v>0</v>
      </c>
      <c r="I348">
        <v>1520</v>
      </c>
      <c r="J348">
        <v>104616</v>
      </c>
      <c r="K348">
        <v>7</v>
      </c>
      <c r="L348">
        <v>2019</v>
      </c>
    </row>
    <row r="349" spans="1:12" x14ac:dyDescent="0.3">
      <c r="A349" t="s">
        <v>42</v>
      </c>
      <c r="B349">
        <v>33</v>
      </c>
      <c r="C349" t="s">
        <v>43</v>
      </c>
      <c r="D349" t="s">
        <v>30</v>
      </c>
      <c r="E349" t="s">
        <v>358</v>
      </c>
      <c r="F349" t="s">
        <v>359</v>
      </c>
      <c r="G349" t="s">
        <v>360</v>
      </c>
      <c r="H349">
        <v>651</v>
      </c>
      <c r="I349">
        <v>797099</v>
      </c>
      <c r="J349">
        <v>56860022</v>
      </c>
      <c r="K349">
        <v>9</v>
      </c>
      <c r="L349">
        <v>2019</v>
      </c>
    </row>
    <row r="350" spans="1:12" x14ac:dyDescent="0.3">
      <c r="A350" t="s">
        <v>58</v>
      </c>
      <c r="B350">
        <v>27</v>
      </c>
      <c r="C350" t="s">
        <v>59</v>
      </c>
      <c r="D350" t="s">
        <v>153</v>
      </c>
      <c r="E350" t="s">
        <v>358</v>
      </c>
      <c r="F350" t="s">
        <v>359</v>
      </c>
      <c r="G350" t="s">
        <v>360</v>
      </c>
      <c r="H350">
        <v>2380</v>
      </c>
      <c r="I350">
        <v>7102233</v>
      </c>
      <c r="J350">
        <v>569823492</v>
      </c>
      <c r="K350">
        <v>9</v>
      </c>
      <c r="L350">
        <v>2022</v>
      </c>
    </row>
    <row r="351" spans="1:12" x14ac:dyDescent="0.3">
      <c r="A351" t="s">
        <v>58</v>
      </c>
      <c r="B351">
        <v>27</v>
      </c>
      <c r="C351" t="s">
        <v>387</v>
      </c>
      <c r="D351" t="s">
        <v>241</v>
      </c>
      <c r="E351" t="s">
        <v>358</v>
      </c>
      <c r="F351" t="s">
        <v>359</v>
      </c>
      <c r="G351" t="s">
        <v>360</v>
      </c>
      <c r="H351">
        <v>20</v>
      </c>
      <c r="I351">
        <v>21842</v>
      </c>
      <c r="J351">
        <v>1517582</v>
      </c>
      <c r="K351">
        <v>3</v>
      </c>
      <c r="L351">
        <v>2019</v>
      </c>
    </row>
    <row r="352" spans="1:12" x14ac:dyDescent="0.3">
      <c r="A352" t="s">
        <v>42</v>
      </c>
      <c r="B352">
        <v>33</v>
      </c>
      <c r="C352" t="s">
        <v>43</v>
      </c>
      <c r="D352" t="s">
        <v>263</v>
      </c>
      <c r="E352" t="s">
        <v>408</v>
      </c>
      <c r="F352" t="s">
        <v>409</v>
      </c>
      <c r="G352" t="s">
        <v>410</v>
      </c>
      <c r="H352">
        <v>50</v>
      </c>
      <c r="I352">
        <v>2217</v>
      </c>
      <c r="J352">
        <v>163086</v>
      </c>
      <c r="K352">
        <v>6</v>
      </c>
      <c r="L352">
        <v>2021</v>
      </c>
    </row>
    <row r="353" spans="1:12" x14ac:dyDescent="0.3">
      <c r="A353" t="s">
        <v>132</v>
      </c>
      <c r="B353">
        <v>19</v>
      </c>
      <c r="C353" t="s">
        <v>590</v>
      </c>
      <c r="D353" t="s">
        <v>193</v>
      </c>
      <c r="E353" t="s">
        <v>358</v>
      </c>
      <c r="F353" t="s">
        <v>359</v>
      </c>
      <c r="G353" t="s">
        <v>360</v>
      </c>
      <c r="H353">
        <v>26</v>
      </c>
      <c r="I353">
        <v>1224744</v>
      </c>
      <c r="J353">
        <v>101995094</v>
      </c>
      <c r="K353">
        <v>12</v>
      </c>
      <c r="L353">
        <v>2023</v>
      </c>
    </row>
    <row r="354" spans="1:12" x14ac:dyDescent="0.3">
      <c r="A354" t="s">
        <v>47</v>
      </c>
      <c r="B354">
        <v>7</v>
      </c>
      <c r="C354" t="s">
        <v>48</v>
      </c>
      <c r="D354" t="s">
        <v>153</v>
      </c>
      <c r="E354" t="s">
        <v>398</v>
      </c>
      <c r="F354" t="s">
        <v>399</v>
      </c>
      <c r="G354" t="s">
        <v>360</v>
      </c>
      <c r="H354">
        <v>1</v>
      </c>
      <c r="I354">
        <v>4926</v>
      </c>
      <c r="J354">
        <v>366233</v>
      </c>
      <c r="K354">
        <v>3</v>
      </c>
      <c r="L354">
        <v>2020</v>
      </c>
    </row>
    <row r="355" spans="1:12" x14ac:dyDescent="0.3">
      <c r="A355" t="s">
        <v>42</v>
      </c>
      <c r="B355">
        <v>33</v>
      </c>
      <c r="C355" t="s">
        <v>43</v>
      </c>
      <c r="D355" t="s">
        <v>68</v>
      </c>
      <c r="E355" t="s">
        <v>103</v>
      </c>
      <c r="F355" t="s">
        <v>104</v>
      </c>
      <c r="G355" t="s">
        <v>393</v>
      </c>
      <c r="H355">
        <v>3598</v>
      </c>
      <c r="I355">
        <v>90966</v>
      </c>
      <c r="J355">
        <v>6166845</v>
      </c>
      <c r="K355">
        <v>6</v>
      </c>
      <c r="L355">
        <v>2018</v>
      </c>
    </row>
    <row r="356" spans="1:12" x14ac:dyDescent="0.3">
      <c r="A356" t="s">
        <v>79</v>
      </c>
      <c r="B356">
        <v>9</v>
      </c>
      <c r="C356" t="s">
        <v>446</v>
      </c>
      <c r="D356" t="s">
        <v>35</v>
      </c>
      <c r="E356" t="s">
        <v>421</v>
      </c>
      <c r="F356" t="s">
        <v>422</v>
      </c>
      <c r="G356" t="s">
        <v>360</v>
      </c>
      <c r="H356">
        <v>513</v>
      </c>
      <c r="I356">
        <v>133022</v>
      </c>
      <c r="J356">
        <v>9965394</v>
      </c>
      <c r="K356">
        <v>10</v>
      </c>
      <c r="L356">
        <v>2021</v>
      </c>
    </row>
    <row r="357" spans="1:12" x14ac:dyDescent="0.3">
      <c r="A357" t="s">
        <v>42</v>
      </c>
      <c r="B357">
        <v>33</v>
      </c>
      <c r="C357" t="s">
        <v>223</v>
      </c>
      <c r="D357" t="s">
        <v>234</v>
      </c>
      <c r="E357" t="s">
        <v>421</v>
      </c>
      <c r="F357" t="s">
        <v>422</v>
      </c>
      <c r="G357" t="s">
        <v>360</v>
      </c>
      <c r="H357">
        <v>354</v>
      </c>
      <c r="I357">
        <v>461460</v>
      </c>
      <c r="J357">
        <v>34365942</v>
      </c>
      <c r="K357">
        <v>4</v>
      </c>
      <c r="L357">
        <v>2021</v>
      </c>
    </row>
    <row r="358" spans="1:12" x14ac:dyDescent="0.3">
      <c r="A358" t="s">
        <v>275</v>
      </c>
      <c r="B358">
        <v>28</v>
      </c>
      <c r="C358" t="s">
        <v>502</v>
      </c>
      <c r="D358" t="s">
        <v>35</v>
      </c>
      <c r="E358" t="s">
        <v>382</v>
      </c>
      <c r="F358" t="s">
        <v>383</v>
      </c>
      <c r="G358" t="s">
        <v>360</v>
      </c>
      <c r="H358">
        <v>73504</v>
      </c>
      <c r="I358">
        <v>6106004</v>
      </c>
      <c r="J358">
        <v>436509072</v>
      </c>
      <c r="K358">
        <v>2</v>
      </c>
      <c r="L358">
        <v>2020</v>
      </c>
    </row>
    <row r="359" spans="1:12" x14ac:dyDescent="0.3">
      <c r="A359" t="s">
        <v>42</v>
      </c>
      <c r="B359">
        <v>33</v>
      </c>
      <c r="C359" t="s">
        <v>67</v>
      </c>
      <c r="D359" t="s">
        <v>263</v>
      </c>
      <c r="E359" t="s">
        <v>370</v>
      </c>
      <c r="F359" t="s">
        <v>371</v>
      </c>
      <c r="G359" t="s">
        <v>360</v>
      </c>
      <c r="H359">
        <v>218</v>
      </c>
      <c r="I359">
        <v>356389</v>
      </c>
      <c r="J359">
        <v>26541095</v>
      </c>
      <c r="K359">
        <v>4</v>
      </c>
      <c r="L359">
        <v>2021</v>
      </c>
    </row>
    <row r="360" spans="1:12" x14ac:dyDescent="0.3">
      <c r="A360" t="s">
        <v>58</v>
      </c>
      <c r="B360">
        <v>27</v>
      </c>
      <c r="C360" t="s">
        <v>59</v>
      </c>
      <c r="D360" t="s">
        <v>163</v>
      </c>
      <c r="E360" t="s">
        <v>361</v>
      </c>
      <c r="F360" t="s">
        <v>362</v>
      </c>
      <c r="G360" t="s">
        <v>360</v>
      </c>
      <c r="H360">
        <v>30</v>
      </c>
      <c r="I360">
        <v>181781</v>
      </c>
      <c r="J360">
        <v>15138493</v>
      </c>
      <c r="K360">
        <v>12</v>
      </c>
      <c r="L360">
        <v>2023</v>
      </c>
    </row>
    <row r="361" spans="1:12" x14ac:dyDescent="0.3">
      <c r="A361" t="s">
        <v>18</v>
      </c>
      <c r="B361">
        <v>6</v>
      </c>
      <c r="C361" t="s">
        <v>233</v>
      </c>
      <c r="D361" t="s">
        <v>237</v>
      </c>
      <c r="E361" t="s">
        <v>358</v>
      </c>
      <c r="F361" t="s">
        <v>359</v>
      </c>
      <c r="G361" t="s">
        <v>360</v>
      </c>
      <c r="H361">
        <v>24</v>
      </c>
      <c r="I361">
        <v>58169</v>
      </c>
      <c r="J361">
        <v>4357749</v>
      </c>
      <c r="K361">
        <v>10</v>
      </c>
      <c r="L361">
        <v>2021</v>
      </c>
    </row>
    <row r="362" spans="1:12" x14ac:dyDescent="0.3">
      <c r="A362" t="s">
        <v>79</v>
      </c>
      <c r="B362">
        <v>9</v>
      </c>
      <c r="C362" t="s">
        <v>337</v>
      </c>
      <c r="D362" t="s">
        <v>108</v>
      </c>
      <c r="E362" t="s">
        <v>421</v>
      </c>
      <c r="F362" t="s">
        <v>422</v>
      </c>
      <c r="G362" t="s">
        <v>360</v>
      </c>
      <c r="H362">
        <v>360</v>
      </c>
      <c r="I362">
        <v>351090</v>
      </c>
      <c r="J362">
        <v>25005251</v>
      </c>
      <c r="K362">
        <v>2</v>
      </c>
      <c r="L362">
        <v>2019</v>
      </c>
    </row>
    <row r="363" spans="1:12" x14ac:dyDescent="0.3">
      <c r="A363" t="s">
        <v>275</v>
      </c>
      <c r="B363">
        <v>28</v>
      </c>
      <c r="C363" t="s">
        <v>591</v>
      </c>
      <c r="D363" t="s">
        <v>515</v>
      </c>
      <c r="E363" t="s">
        <v>366</v>
      </c>
      <c r="F363" t="s">
        <v>367</v>
      </c>
      <c r="G363" t="s">
        <v>360</v>
      </c>
      <c r="H363">
        <v>11</v>
      </c>
      <c r="I363">
        <v>288164</v>
      </c>
      <c r="J363">
        <v>19462437</v>
      </c>
      <c r="K363">
        <v>5</v>
      </c>
      <c r="L363">
        <v>2018</v>
      </c>
    </row>
    <row r="364" spans="1:12" x14ac:dyDescent="0.3">
      <c r="A364" t="s">
        <v>42</v>
      </c>
      <c r="B364">
        <v>33</v>
      </c>
      <c r="C364" t="s">
        <v>43</v>
      </c>
      <c r="D364" t="s">
        <v>105</v>
      </c>
      <c r="E364" t="s">
        <v>370</v>
      </c>
      <c r="F364" t="s">
        <v>371</v>
      </c>
      <c r="G364" t="s">
        <v>360</v>
      </c>
      <c r="H364">
        <v>682</v>
      </c>
      <c r="I364">
        <v>1545132</v>
      </c>
      <c r="J364">
        <v>107353627</v>
      </c>
      <c r="K364">
        <v>3</v>
      </c>
      <c r="L364">
        <v>2019</v>
      </c>
    </row>
    <row r="365" spans="1:12" x14ac:dyDescent="0.3">
      <c r="A365" t="s">
        <v>18</v>
      </c>
      <c r="B365">
        <v>6</v>
      </c>
      <c r="C365" t="s">
        <v>233</v>
      </c>
      <c r="D365" t="s">
        <v>294</v>
      </c>
      <c r="E365" t="s">
        <v>418</v>
      </c>
      <c r="F365" t="s">
        <v>419</v>
      </c>
      <c r="G365" t="s">
        <v>360</v>
      </c>
      <c r="H365">
        <v>26</v>
      </c>
      <c r="I365">
        <v>42723</v>
      </c>
      <c r="J365">
        <v>3232445</v>
      </c>
      <c r="K365">
        <v>5</v>
      </c>
      <c r="L365">
        <v>2020</v>
      </c>
    </row>
    <row r="366" spans="1:12" x14ac:dyDescent="0.3">
      <c r="A366" t="s">
        <v>42</v>
      </c>
      <c r="B366">
        <v>33</v>
      </c>
      <c r="C366" t="s">
        <v>111</v>
      </c>
      <c r="D366" t="s">
        <v>131</v>
      </c>
      <c r="E366" t="s">
        <v>103</v>
      </c>
      <c r="F366" t="s">
        <v>104</v>
      </c>
      <c r="G366" t="s">
        <v>393</v>
      </c>
      <c r="H366">
        <v>4</v>
      </c>
      <c r="I366">
        <v>702</v>
      </c>
      <c r="J366">
        <v>48208</v>
      </c>
      <c r="K366">
        <v>7</v>
      </c>
      <c r="L366">
        <v>2018</v>
      </c>
    </row>
    <row r="367" spans="1:12" x14ac:dyDescent="0.3">
      <c r="A367" t="s">
        <v>73</v>
      </c>
      <c r="B367">
        <v>3</v>
      </c>
      <c r="C367" t="s">
        <v>314</v>
      </c>
      <c r="D367" t="s">
        <v>149</v>
      </c>
      <c r="E367" t="s">
        <v>358</v>
      </c>
      <c r="F367" t="s">
        <v>359</v>
      </c>
      <c r="G367" t="s">
        <v>360</v>
      </c>
      <c r="H367">
        <v>71</v>
      </c>
      <c r="I367">
        <v>34385</v>
      </c>
      <c r="J367">
        <v>2813017</v>
      </c>
      <c r="K367">
        <v>11</v>
      </c>
      <c r="L367">
        <v>2022</v>
      </c>
    </row>
    <row r="368" spans="1:12" x14ac:dyDescent="0.3">
      <c r="A368" t="s">
        <v>42</v>
      </c>
      <c r="B368">
        <v>33</v>
      </c>
      <c r="C368" t="s">
        <v>43</v>
      </c>
      <c r="D368" t="s">
        <v>118</v>
      </c>
      <c r="E368" t="s">
        <v>592</v>
      </c>
      <c r="F368" t="s">
        <v>593</v>
      </c>
      <c r="G368" t="s">
        <v>360</v>
      </c>
      <c r="H368">
        <v>25</v>
      </c>
      <c r="I368">
        <v>16545</v>
      </c>
      <c r="J368">
        <v>1178390</v>
      </c>
      <c r="K368">
        <v>2</v>
      </c>
      <c r="L368">
        <v>2019</v>
      </c>
    </row>
    <row r="369" spans="1:12" x14ac:dyDescent="0.3">
      <c r="A369" t="s">
        <v>23</v>
      </c>
      <c r="B369">
        <v>24</v>
      </c>
      <c r="C369" t="s">
        <v>38</v>
      </c>
      <c r="D369" t="s">
        <v>153</v>
      </c>
      <c r="E369" t="s">
        <v>370</v>
      </c>
      <c r="F369" t="s">
        <v>371</v>
      </c>
      <c r="G369" t="s">
        <v>360</v>
      </c>
      <c r="H369">
        <v>326</v>
      </c>
      <c r="I369">
        <v>728039</v>
      </c>
      <c r="J369">
        <v>60037130</v>
      </c>
      <c r="K369">
        <v>12</v>
      </c>
      <c r="L369">
        <v>2022</v>
      </c>
    </row>
    <row r="370" spans="1:12" x14ac:dyDescent="0.3">
      <c r="A370" t="s">
        <v>12</v>
      </c>
      <c r="B370">
        <v>8</v>
      </c>
      <c r="C370" t="s">
        <v>165</v>
      </c>
      <c r="D370" t="s">
        <v>529</v>
      </c>
      <c r="E370" t="s">
        <v>530</v>
      </c>
      <c r="F370" t="s">
        <v>531</v>
      </c>
      <c r="G370" t="s">
        <v>360</v>
      </c>
      <c r="H370">
        <v>47</v>
      </c>
      <c r="I370">
        <v>122706</v>
      </c>
      <c r="J370">
        <v>10213460</v>
      </c>
      <c r="K370">
        <v>10</v>
      </c>
      <c r="L370">
        <v>2023</v>
      </c>
    </row>
    <row r="371" spans="1:12" x14ac:dyDescent="0.3">
      <c r="A371" t="s">
        <v>18</v>
      </c>
      <c r="B371">
        <v>6</v>
      </c>
      <c r="C371" t="s">
        <v>233</v>
      </c>
      <c r="D371" t="s">
        <v>142</v>
      </c>
      <c r="E371" t="s">
        <v>421</v>
      </c>
      <c r="F371" t="s">
        <v>422</v>
      </c>
      <c r="G371" t="s">
        <v>360</v>
      </c>
      <c r="H371">
        <v>25</v>
      </c>
      <c r="I371">
        <v>25550</v>
      </c>
      <c r="J371">
        <v>1826538</v>
      </c>
      <c r="K371">
        <v>2</v>
      </c>
      <c r="L371">
        <v>2020</v>
      </c>
    </row>
    <row r="372" spans="1:12" x14ac:dyDescent="0.3">
      <c r="A372" t="s">
        <v>42</v>
      </c>
      <c r="B372">
        <v>33</v>
      </c>
      <c r="C372" t="s">
        <v>111</v>
      </c>
      <c r="D372" t="s">
        <v>237</v>
      </c>
      <c r="E372" t="s">
        <v>370</v>
      </c>
      <c r="F372" t="s">
        <v>371</v>
      </c>
      <c r="G372" t="s">
        <v>360</v>
      </c>
      <c r="H372">
        <v>1</v>
      </c>
      <c r="I372">
        <v>301143</v>
      </c>
      <c r="J372">
        <v>24833584</v>
      </c>
      <c r="K372">
        <v>12</v>
      </c>
      <c r="L372">
        <v>2022</v>
      </c>
    </row>
    <row r="373" spans="1:12" x14ac:dyDescent="0.3">
      <c r="A373" t="s">
        <v>18</v>
      </c>
      <c r="B373">
        <v>6</v>
      </c>
      <c r="C373" t="s">
        <v>166</v>
      </c>
      <c r="D373" t="s">
        <v>20</v>
      </c>
      <c r="E373" t="s">
        <v>103</v>
      </c>
      <c r="F373" t="s">
        <v>104</v>
      </c>
      <c r="G373" t="s">
        <v>393</v>
      </c>
      <c r="H373">
        <v>536</v>
      </c>
      <c r="I373">
        <v>75530</v>
      </c>
      <c r="J373">
        <v>4862153</v>
      </c>
      <c r="K373">
        <v>2</v>
      </c>
      <c r="L373">
        <v>2018</v>
      </c>
    </row>
    <row r="374" spans="1:12" x14ac:dyDescent="0.3">
      <c r="A374" t="s">
        <v>132</v>
      </c>
      <c r="B374">
        <v>19</v>
      </c>
      <c r="C374" t="s">
        <v>209</v>
      </c>
      <c r="D374" t="s">
        <v>193</v>
      </c>
      <c r="E374" t="s">
        <v>358</v>
      </c>
      <c r="F374" t="s">
        <v>359</v>
      </c>
      <c r="G374" t="s">
        <v>360</v>
      </c>
      <c r="H374">
        <v>609</v>
      </c>
      <c r="I374">
        <v>739609</v>
      </c>
      <c r="J374">
        <v>51386985</v>
      </c>
      <c r="K374">
        <v>3</v>
      </c>
      <c r="L374">
        <v>2019</v>
      </c>
    </row>
    <row r="375" spans="1:12" x14ac:dyDescent="0.3">
      <c r="A375" t="s">
        <v>18</v>
      </c>
      <c r="B375">
        <v>6</v>
      </c>
      <c r="C375" t="s">
        <v>97</v>
      </c>
      <c r="D375" t="s">
        <v>251</v>
      </c>
      <c r="E375" t="s">
        <v>358</v>
      </c>
      <c r="F375" t="s">
        <v>359</v>
      </c>
      <c r="G375" t="s">
        <v>360</v>
      </c>
      <c r="H375">
        <v>25</v>
      </c>
      <c r="I375">
        <v>58574</v>
      </c>
      <c r="J375">
        <v>4355024</v>
      </c>
      <c r="K375">
        <v>3</v>
      </c>
      <c r="L375">
        <v>2020</v>
      </c>
    </row>
    <row r="376" spans="1:12" x14ac:dyDescent="0.3">
      <c r="A376" t="s">
        <v>58</v>
      </c>
      <c r="B376">
        <v>27</v>
      </c>
      <c r="C376" t="s">
        <v>533</v>
      </c>
      <c r="D376" t="s">
        <v>131</v>
      </c>
      <c r="E376" t="s">
        <v>358</v>
      </c>
      <c r="F376" t="s">
        <v>359</v>
      </c>
      <c r="G376" t="s">
        <v>360</v>
      </c>
      <c r="H376">
        <v>156</v>
      </c>
      <c r="I376">
        <v>231303</v>
      </c>
      <c r="J376">
        <v>16431604</v>
      </c>
      <c r="K376">
        <v>10</v>
      </c>
      <c r="L376">
        <v>2019</v>
      </c>
    </row>
    <row r="377" spans="1:12" x14ac:dyDescent="0.3">
      <c r="A377" t="s">
        <v>58</v>
      </c>
      <c r="B377">
        <v>27</v>
      </c>
      <c r="C377" t="s">
        <v>594</v>
      </c>
      <c r="D377" t="s">
        <v>76</v>
      </c>
      <c r="E377" t="s">
        <v>398</v>
      </c>
      <c r="F377" t="s">
        <v>399</v>
      </c>
      <c r="G377" t="s">
        <v>360</v>
      </c>
      <c r="H377">
        <v>5991</v>
      </c>
      <c r="I377">
        <v>2097819</v>
      </c>
      <c r="J377">
        <v>174042622</v>
      </c>
      <c r="K377">
        <v>2</v>
      </c>
      <c r="L377">
        <v>2024</v>
      </c>
    </row>
    <row r="378" spans="1:12" x14ac:dyDescent="0.3">
      <c r="A378" t="s">
        <v>137</v>
      </c>
      <c r="B378">
        <v>36</v>
      </c>
      <c r="C378" t="s">
        <v>148</v>
      </c>
      <c r="D378" t="s">
        <v>190</v>
      </c>
      <c r="E378" t="s">
        <v>408</v>
      </c>
      <c r="F378" t="s">
        <v>409</v>
      </c>
      <c r="G378" t="s">
        <v>410</v>
      </c>
      <c r="H378">
        <v>600</v>
      </c>
      <c r="I378">
        <v>15767</v>
      </c>
      <c r="J378">
        <v>1300225</v>
      </c>
      <c r="K378">
        <v>12</v>
      </c>
      <c r="L378">
        <v>2022</v>
      </c>
    </row>
    <row r="379" spans="1:12" x14ac:dyDescent="0.3">
      <c r="A379" t="s">
        <v>63</v>
      </c>
      <c r="B379">
        <v>23</v>
      </c>
      <c r="C379" t="s">
        <v>595</v>
      </c>
      <c r="D379" t="s">
        <v>186</v>
      </c>
      <c r="E379" t="s">
        <v>358</v>
      </c>
      <c r="F379" t="s">
        <v>359</v>
      </c>
      <c r="G379" t="s">
        <v>360</v>
      </c>
      <c r="H379">
        <v>344</v>
      </c>
      <c r="I379">
        <v>162952</v>
      </c>
      <c r="J379">
        <v>13437733</v>
      </c>
      <c r="K379">
        <v>12</v>
      </c>
      <c r="L379">
        <v>2022</v>
      </c>
    </row>
    <row r="380" spans="1:12" x14ac:dyDescent="0.3">
      <c r="A380" t="s">
        <v>58</v>
      </c>
      <c r="B380">
        <v>27</v>
      </c>
      <c r="C380" t="s">
        <v>59</v>
      </c>
      <c r="D380" t="s">
        <v>350</v>
      </c>
      <c r="E380" t="s">
        <v>370</v>
      </c>
      <c r="F380" t="s">
        <v>371</v>
      </c>
      <c r="G380" t="s">
        <v>360</v>
      </c>
      <c r="H380">
        <v>9</v>
      </c>
      <c r="I380">
        <v>612355</v>
      </c>
      <c r="J380">
        <v>43501364</v>
      </c>
      <c r="K380">
        <v>10</v>
      </c>
      <c r="L380">
        <v>2019</v>
      </c>
    </row>
    <row r="381" spans="1:12" x14ac:dyDescent="0.3">
      <c r="A381" t="s">
        <v>23</v>
      </c>
      <c r="B381">
        <v>24</v>
      </c>
      <c r="C381" t="s">
        <v>24</v>
      </c>
      <c r="D381" t="s">
        <v>89</v>
      </c>
      <c r="E381" t="s">
        <v>418</v>
      </c>
      <c r="F381" t="s">
        <v>419</v>
      </c>
      <c r="G381" t="s">
        <v>360</v>
      </c>
      <c r="H381">
        <v>41</v>
      </c>
      <c r="I381">
        <v>86012</v>
      </c>
      <c r="J381">
        <v>6333227</v>
      </c>
      <c r="K381">
        <v>10</v>
      </c>
      <c r="L381">
        <v>2018</v>
      </c>
    </row>
    <row r="382" spans="1:12" x14ac:dyDescent="0.3">
      <c r="A382" t="s">
        <v>132</v>
      </c>
      <c r="B382">
        <v>19</v>
      </c>
      <c r="C382" t="s">
        <v>209</v>
      </c>
      <c r="D382" t="s">
        <v>108</v>
      </c>
      <c r="E382" t="s">
        <v>398</v>
      </c>
      <c r="F382" t="s">
        <v>399</v>
      </c>
      <c r="G382" t="s">
        <v>360</v>
      </c>
      <c r="H382">
        <v>1</v>
      </c>
      <c r="I382">
        <v>7393</v>
      </c>
      <c r="J382">
        <v>499300</v>
      </c>
      <c r="K382">
        <v>5</v>
      </c>
      <c r="L382">
        <v>2018</v>
      </c>
    </row>
    <row r="383" spans="1:12" x14ac:dyDescent="0.3">
      <c r="A383" t="s">
        <v>58</v>
      </c>
      <c r="B383">
        <v>27</v>
      </c>
      <c r="C383" t="s">
        <v>59</v>
      </c>
      <c r="D383" t="s">
        <v>164</v>
      </c>
      <c r="E383" t="s">
        <v>596</v>
      </c>
      <c r="F383" t="s">
        <v>597</v>
      </c>
      <c r="G383" t="s">
        <v>360</v>
      </c>
      <c r="H383">
        <v>7160</v>
      </c>
      <c r="I383">
        <v>6233799</v>
      </c>
      <c r="J383">
        <v>458547631</v>
      </c>
      <c r="K383">
        <v>6</v>
      </c>
      <c r="L383">
        <v>2021</v>
      </c>
    </row>
    <row r="384" spans="1:12" x14ac:dyDescent="0.3">
      <c r="A384" t="s">
        <v>323</v>
      </c>
      <c r="B384">
        <v>5</v>
      </c>
      <c r="C384" t="s">
        <v>598</v>
      </c>
      <c r="D384" t="s">
        <v>261</v>
      </c>
      <c r="E384" t="s">
        <v>421</v>
      </c>
      <c r="F384" t="s">
        <v>422</v>
      </c>
      <c r="G384" t="s">
        <v>360</v>
      </c>
      <c r="H384">
        <v>34</v>
      </c>
      <c r="I384">
        <v>14895</v>
      </c>
      <c r="J384">
        <v>1233121</v>
      </c>
      <c r="K384">
        <v>8</v>
      </c>
      <c r="L384">
        <v>2023</v>
      </c>
    </row>
    <row r="385" spans="1:12" x14ac:dyDescent="0.3">
      <c r="A385" t="s">
        <v>79</v>
      </c>
      <c r="B385">
        <v>9</v>
      </c>
      <c r="C385" t="s">
        <v>532</v>
      </c>
      <c r="D385" t="s">
        <v>105</v>
      </c>
      <c r="E385" t="s">
        <v>370</v>
      </c>
      <c r="F385" t="s">
        <v>371</v>
      </c>
      <c r="G385" t="s">
        <v>360</v>
      </c>
      <c r="H385">
        <v>263</v>
      </c>
      <c r="I385">
        <v>513989</v>
      </c>
      <c r="J385">
        <v>42869696</v>
      </c>
      <c r="K385">
        <v>4</v>
      </c>
      <c r="L385">
        <v>2024</v>
      </c>
    </row>
    <row r="386" spans="1:12" x14ac:dyDescent="0.3">
      <c r="A386" t="s">
        <v>79</v>
      </c>
      <c r="B386">
        <v>9</v>
      </c>
      <c r="C386" t="s">
        <v>88</v>
      </c>
      <c r="D386" t="s">
        <v>44</v>
      </c>
      <c r="E386" t="s">
        <v>358</v>
      </c>
      <c r="F386" t="s">
        <v>359</v>
      </c>
      <c r="G386" t="s">
        <v>360</v>
      </c>
      <c r="H386">
        <v>28</v>
      </c>
      <c r="I386">
        <v>15804</v>
      </c>
      <c r="J386">
        <v>1117813</v>
      </c>
      <c r="K386">
        <v>12</v>
      </c>
      <c r="L386">
        <v>2018</v>
      </c>
    </row>
    <row r="387" spans="1:12" x14ac:dyDescent="0.3">
      <c r="A387" t="s">
        <v>137</v>
      </c>
      <c r="B387">
        <v>36</v>
      </c>
      <c r="C387" t="s">
        <v>148</v>
      </c>
      <c r="D387" t="s">
        <v>35</v>
      </c>
      <c r="E387" t="s">
        <v>408</v>
      </c>
      <c r="F387" t="s">
        <v>409</v>
      </c>
      <c r="G387" t="s">
        <v>410</v>
      </c>
      <c r="H387">
        <v>840</v>
      </c>
      <c r="I387">
        <v>17553</v>
      </c>
      <c r="J387">
        <v>1328061</v>
      </c>
      <c r="K387">
        <v>5</v>
      </c>
      <c r="L387">
        <v>2020</v>
      </c>
    </row>
    <row r="388" spans="1:12" x14ac:dyDescent="0.3">
      <c r="A388" t="s">
        <v>58</v>
      </c>
      <c r="B388">
        <v>27</v>
      </c>
      <c r="C388" t="s">
        <v>287</v>
      </c>
      <c r="D388" t="s">
        <v>534</v>
      </c>
      <c r="E388" t="s">
        <v>535</v>
      </c>
      <c r="F388" t="s">
        <v>536</v>
      </c>
      <c r="G388" t="s">
        <v>360</v>
      </c>
      <c r="H388">
        <v>25</v>
      </c>
      <c r="I388">
        <v>19373</v>
      </c>
      <c r="J388">
        <v>1465752</v>
      </c>
      <c r="K388">
        <v>5</v>
      </c>
      <c r="L388">
        <v>2020</v>
      </c>
    </row>
    <row r="389" spans="1:12" x14ac:dyDescent="0.3">
      <c r="A389" t="s">
        <v>23</v>
      </c>
      <c r="B389">
        <v>24</v>
      </c>
      <c r="C389" t="s">
        <v>235</v>
      </c>
      <c r="D389" t="s">
        <v>131</v>
      </c>
      <c r="E389" t="s">
        <v>358</v>
      </c>
      <c r="F389" t="s">
        <v>359</v>
      </c>
      <c r="G389" t="s">
        <v>360</v>
      </c>
      <c r="H389">
        <v>70</v>
      </c>
      <c r="I389">
        <v>165493</v>
      </c>
      <c r="J389">
        <v>12156817</v>
      </c>
      <c r="K389">
        <v>10</v>
      </c>
      <c r="L389">
        <v>2020</v>
      </c>
    </row>
    <row r="390" spans="1:12" x14ac:dyDescent="0.3">
      <c r="A390" t="s">
        <v>79</v>
      </c>
      <c r="B390">
        <v>9</v>
      </c>
      <c r="C390" t="s">
        <v>537</v>
      </c>
      <c r="D390" t="s">
        <v>334</v>
      </c>
      <c r="E390" t="s">
        <v>370</v>
      </c>
      <c r="F390" t="s">
        <v>371</v>
      </c>
      <c r="G390" t="s">
        <v>360</v>
      </c>
      <c r="H390">
        <v>114</v>
      </c>
      <c r="I390">
        <v>289500</v>
      </c>
      <c r="J390">
        <v>20476627</v>
      </c>
      <c r="K390">
        <v>12</v>
      </c>
      <c r="L390">
        <v>2018</v>
      </c>
    </row>
    <row r="391" spans="1:12" x14ac:dyDescent="0.3">
      <c r="A391" t="s">
        <v>18</v>
      </c>
      <c r="B391">
        <v>6</v>
      </c>
      <c r="C391" t="s">
        <v>19</v>
      </c>
      <c r="D391" t="s">
        <v>142</v>
      </c>
      <c r="E391" t="s">
        <v>421</v>
      </c>
      <c r="F391" t="s">
        <v>422</v>
      </c>
      <c r="G391" t="s">
        <v>360</v>
      </c>
      <c r="H391">
        <v>542</v>
      </c>
      <c r="I391">
        <v>1273912</v>
      </c>
      <c r="J391">
        <v>96017898</v>
      </c>
      <c r="K391">
        <v>12</v>
      </c>
      <c r="L391">
        <v>2021</v>
      </c>
    </row>
    <row r="392" spans="1:12" x14ac:dyDescent="0.3">
      <c r="A392" t="s">
        <v>58</v>
      </c>
      <c r="B392">
        <v>27</v>
      </c>
      <c r="C392" t="s">
        <v>59</v>
      </c>
      <c r="D392" t="s">
        <v>153</v>
      </c>
      <c r="E392" t="s">
        <v>398</v>
      </c>
      <c r="F392" t="s">
        <v>399</v>
      </c>
      <c r="G392" t="s">
        <v>360</v>
      </c>
      <c r="H392">
        <v>350</v>
      </c>
      <c r="I392">
        <v>850449</v>
      </c>
      <c r="J392">
        <v>58517963</v>
      </c>
      <c r="K392">
        <v>7</v>
      </c>
      <c r="L392">
        <v>2019</v>
      </c>
    </row>
    <row r="393" spans="1:12" x14ac:dyDescent="0.3">
      <c r="A393" t="s">
        <v>33</v>
      </c>
      <c r="B393">
        <v>32</v>
      </c>
      <c r="C393" t="s">
        <v>214</v>
      </c>
      <c r="D393" t="s">
        <v>90</v>
      </c>
      <c r="E393" t="s">
        <v>395</v>
      </c>
      <c r="F393" t="s">
        <v>599</v>
      </c>
      <c r="G393" t="s">
        <v>393</v>
      </c>
      <c r="H393">
        <v>3</v>
      </c>
      <c r="I393">
        <v>22871</v>
      </c>
      <c r="J393">
        <v>1487132</v>
      </c>
      <c r="K393">
        <v>3</v>
      </c>
      <c r="L393">
        <v>2018</v>
      </c>
    </row>
    <row r="394" spans="1:12" x14ac:dyDescent="0.3">
      <c r="A394" t="s">
        <v>47</v>
      </c>
      <c r="B394">
        <v>7</v>
      </c>
      <c r="C394" t="s">
        <v>51</v>
      </c>
      <c r="D394" t="s">
        <v>108</v>
      </c>
      <c r="E394" t="s">
        <v>358</v>
      </c>
      <c r="F394" t="s">
        <v>359</v>
      </c>
      <c r="G394" t="s">
        <v>360</v>
      </c>
      <c r="H394">
        <v>579</v>
      </c>
      <c r="I394">
        <v>661847</v>
      </c>
      <c r="J394">
        <v>47118619</v>
      </c>
      <c r="K394">
        <v>12</v>
      </c>
      <c r="L394">
        <v>2019</v>
      </c>
    </row>
    <row r="395" spans="1:12" x14ac:dyDescent="0.3">
      <c r="A395" t="s">
        <v>33</v>
      </c>
      <c r="B395">
        <v>32</v>
      </c>
      <c r="C395" t="s">
        <v>214</v>
      </c>
      <c r="D395" t="s">
        <v>190</v>
      </c>
      <c r="E395" t="s">
        <v>358</v>
      </c>
      <c r="F395" t="s">
        <v>359</v>
      </c>
      <c r="G395" t="s">
        <v>360</v>
      </c>
      <c r="H395">
        <v>2995</v>
      </c>
      <c r="I395">
        <v>1443547</v>
      </c>
      <c r="J395">
        <v>118097299</v>
      </c>
      <c r="K395">
        <v>11</v>
      </c>
      <c r="L395">
        <v>2022</v>
      </c>
    </row>
    <row r="396" spans="1:12" x14ac:dyDescent="0.3">
      <c r="A396" t="s">
        <v>42</v>
      </c>
      <c r="B396">
        <v>33</v>
      </c>
      <c r="C396" t="s">
        <v>111</v>
      </c>
      <c r="D396" t="s">
        <v>90</v>
      </c>
      <c r="E396" t="s">
        <v>370</v>
      </c>
      <c r="F396" t="s">
        <v>371</v>
      </c>
      <c r="G396" t="s">
        <v>360</v>
      </c>
      <c r="H396">
        <v>86</v>
      </c>
      <c r="I396">
        <v>7865998</v>
      </c>
      <c r="J396">
        <v>556370698</v>
      </c>
      <c r="K396">
        <v>12</v>
      </c>
      <c r="L396">
        <v>2018</v>
      </c>
    </row>
    <row r="397" spans="1:12" x14ac:dyDescent="0.3">
      <c r="A397" t="s">
        <v>23</v>
      </c>
      <c r="B397">
        <v>24</v>
      </c>
      <c r="C397" t="s">
        <v>24</v>
      </c>
      <c r="D397" t="s">
        <v>600</v>
      </c>
      <c r="E397" t="s">
        <v>358</v>
      </c>
      <c r="F397" t="s">
        <v>359</v>
      </c>
      <c r="G397" t="s">
        <v>360</v>
      </c>
      <c r="H397">
        <v>19</v>
      </c>
      <c r="I397">
        <v>9589</v>
      </c>
      <c r="J397">
        <v>719203</v>
      </c>
      <c r="K397">
        <v>2</v>
      </c>
      <c r="L397">
        <v>2022</v>
      </c>
    </row>
    <row r="398" spans="1:12" x14ac:dyDescent="0.3">
      <c r="A398" t="s">
        <v>33</v>
      </c>
      <c r="B398">
        <v>32</v>
      </c>
      <c r="C398" t="s">
        <v>214</v>
      </c>
      <c r="D398" t="s">
        <v>190</v>
      </c>
      <c r="E398" t="s">
        <v>592</v>
      </c>
      <c r="F398" t="s">
        <v>593</v>
      </c>
      <c r="G398" t="s">
        <v>360</v>
      </c>
      <c r="H398">
        <v>1417</v>
      </c>
      <c r="I398">
        <v>727800</v>
      </c>
      <c r="J398">
        <v>51702478</v>
      </c>
      <c r="K398">
        <v>10</v>
      </c>
      <c r="L398">
        <v>2019</v>
      </c>
    </row>
    <row r="399" spans="1:12" x14ac:dyDescent="0.3">
      <c r="A399" t="s">
        <v>23</v>
      </c>
      <c r="B399">
        <v>24</v>
      </c>
      <c r="C399" t="s">
        <v>38</v>
      </c>
      <c r="D399" t="s">
        <v>529</v>
      </c>
      <c r="E399" t="s">
        <v>358</v>
      </c>
      <c r="F399" t="s">
        <v>359</v>
      </c>
      <c r="G399" t="s">
        <v>360</v>
      </c>
      <c r="H399">
        <v>202</v>
      </c>
      <c r="I399">
        <v>171217</v>
      </c>
      <c r="J399">
        <v>12517586</v>
      </c>
      <c r="K399">
        <v>1</v>
      </c>
      <c r="L399">
        <v>2021</v>
      </c>
    </row>
    <row r="400" spans="1:12" x14ac:dyDescent="0.3">
      <c r="A400" t="s">
        <v>23</v>
      </c>
      <c r="B400">
        <v>24</v>
      </c>
      <c r="C400" t="s">
        <v>431</v>
      </c>
      <c r="D400" t="s">
        <v>229</v>
      </c>
      <c r="E400" t="s">
        <v>382</v>
      </c>
      <c r="F400" t="s">
        <v>383</v>
      </c>
      <c r="G400" t="s">
        <v>360</v>
      </c>
      <c r="H400">
        <v>15000</v>
      </c>
      <c r="I400">
        <v>3084059</v>
      </c>
      <c r="J400">
        <v>257209000</v>
      </c>
      <c r="K400">
        <v>5</v>
      </c>
      <c r="L400">
        <v>2024</v>
      </c>
    </row>
    <row r="401" spans="1:12" x14ac:dyDescent="0.3">
      <c r="A401" t="s">
        <v>538</v>
      </c>
      <c r="B401">
        <v>34</v>
      </c>
      <c r="C401" t="s">
        <v>539</v>
      </c>
      <c r="D401" t="s">
        <v>68</v>
      </c>
      <c r="E401" t="s">
        <v>382</v>
      </c>
      <c r="F401" t="s">
        <v>383</v>
      </c>
      <c r="G401" t="s">
        <v>360</v>
      </c>
      <c r="H401">
        <v>640593</v>
      </c>
      <c r="I401">
        <v>36361271</v>
      </c>
      <c r="J401">
        <v>2588653423</v>
      </c>
      <c r="K401">
        <v>12</v>
      </c>
      <c r="L401">
        <v>2019</v>
      </c>
    </row>
    <row r="402" spans="1:12" x14ac:dyDescent="0.3">
      <c r="A402" t="s">
        <v>137</v>
      </c>
      <c r="B402">
        <v>36</v>
      </c>
      <c r="C402" t="s">
        <v>138</v>
      </c>
      <c r="D402" t="s">
        <v>90</v>
      </c>
      <c r="E402" t="s">
        <v>370</v>
      </c>
      <c r="F402" t="s">
        <v>371</v>
      </c>
      <c r="G402" t="s">
        <v>360</v>
      </c>
      <c r="H402">
        <v>57</v>
      </c>
      <c r="I402">
        <v>374036</v>
      </c>
      <c r="J402">
        <v>28518210</v>
      </c>
      <c r="K402">
        <v>3</v>
      </c>
      <c r="L402">
        <v>2022</v>
      </c>
    </row>
    <row r="403" spans="1:12" x14ac:dyDescent="0.3">
      <c r="A403" t="s">
        <v>23</v>
      </c>
      <c r="B403">
        <v>24</v>
      </c>
      <c r="C403" t="s">
        <v>24</v>
      </c>
      <c r="D403" t="s">
        <v>194</v>
      </c>
      <c r="E403" t="s">
        <v>418</v>
      </c>
      <c r="F403" t="s">
        <v>419</v>
      </c>
      <c r="G403" t="s">
        <v>360</v>
      </c>
      <c r="H403">
        <v>164</v>
      </c>
      <c r="I403">
        <v>479203</v>
      </c>
      <c r="J403">
        <v>32365112</v>
      </c>
      <c r="K403">
        <v>5</v>
      </c>
      <c r="L403">
        <v>2018</v>
      </c>
    </row>
    <row r="404" spans="1:12" x14ac:dyDescent="0.3">
      <c r="A404" t="s">
        <v>58</v>
      </c>
      <c r="B404">
        <v>27</v>
      </c>
      <c r="C404" t="s">
        <v>601</v>
      </c>
      <c r="D404" t="s">
        <v>180</v>
      </c>
      <c r="E404" t="s">
        <v>408</v>
      </c>
      <c r="F404" t="s">
        <v>409</v>
      </c>
      <c r="G404" t="s">
        <v>410</v>
      </c>
      <c r="H404">
        <v>12452</v>
      </c>
      <c r="I404">
        <v>198264</v>
      </c>
      <c r="J404">
        <v>16304023</v>
      </c>
      <c r="K404">
        <v>6</v>
      </c>
      <c r="L404">
        <v>2023</v>
      </c>
    </row>
    <row r="405" spans="1:12" x14ac:dyDescent="0.3">
      <c r="A405" t="s">
        <v>58</v>
      </c>
      <c r="B405">
        <v>27</v>
      </c>
      <c r="C405" t="s">
        <v>387</v>
      </c>
      <c r="D405" t="s">
        <v>167</v>
      </c>
      <c r="E405" t="s">
        <v>421</v>
      </c>
      <c r="F405" t="s">
        <v>422</v>
      </c>
      <c r="G405" t="s">
        <v>360</v>
      </c>
      <c r="H405">
        <v>405</v>
      </c>
      <c r="I405">
        <v>660637</v>
      </c>
      <c r="J405">
        <v>45866338</v>
      </c>
      <c r="K405">
        <v>4</v>
      </c>
      <c r="L405">
        <v>2019</v>
      </c>
    </row>
    <row r="406" spans="1:12" x14ac:dyDescent="0.3">
      <c r="A406" t="s">
        <v>18</v>
      </c>
      <c r="B406">
        <v>6</v>
      </c>
      <c r="C406" t="s">
        <v>254</v>
      </c>
      <c r="D406" t="s">
        <v>257</v>
      </c>
      <c r="E406" t="s">
        <v>370</v>
      </c>
      <c r="F406" t="s">
        <v>371</v>
      </c>
      <c r="G406" t="s">
        <v>360</v>
      </c>
      <c r="H406">
        <v>21</v>
      </c>
      <c r="I406">
        <v>35622</v>
      </c>
      <c r="J406">
        <v>2967216</v>
      </c>
      <c r="K406">
        <v>11</v>
      </c>
      <c r="L406">
        <v>2023</v>
      </c>
    </row>
    <row r="407" spans="1:12" x14ac:dyDescent="0.3">
      <c r="A407" t="s">
        <v>18</v>
      </c>
      <c r="B407">
        <v>6</v>
      </c>
      <c r="C407" t="s">
        <v>540</v>
      </c>
      <c r="D407" t="s">
        <v>70</v>
      </c>
      <c r="E407" t="s">
        <v>370</v>
      </c>
      <c r="F407" t="s">
        <v>371</v>
      </c>
      <c r="G407" t="s">
        <v>360</v>
      </c>
      <c r="H407">
        <v>17</v>
      </c>
      <c r="I407">
        <v>30939</v>
      </c>
      <c r="J407">
        <v>2188380</v>
      </c>
      <c r="K407">
        <v>1</v>
      </c>
      <c r="L407">
        <v>2019</v>
      </c>
    </row>
    <row r="408" spans="1:12" x14ac:dyDescent="0.3">
      <c r="A408" t="s">
        <v>12</v>
      </c>
      <c r="B408">
        <v>8</v>
      </c>
      <c r="C408" t="s">
        <v>560</v>
      </c>
      <c r="D408" t="s">
        <v>260</v>
      </c>
      <c r="E408" t="s">
        <v>358</v>
      </c>
      <c r="F408" t="s">
        <v>359</v>
      </c>
      <c r="G408" t="s">
        <v>360</v>
      </c>
      <c r="H408">
        <v>53</v>
      </c>
      <c r="I408">
        <v>35967</v>
      </c>
      <c r="J408">
        <v>2885701</v>
      </c>
      <c r="K408">
        <v>9</v>
      </c>
      <c r="L408">
        <v>2022</v>
      </c>
    </row>
    <row r="409" spans="1:12" x14ac:dyDescent="0.3">
      <c r="A409" t="s">
        <v>58</v>
      </c>
      <c r="B409">
        <v>27</v>
      </c>
      <c r="C409" t="s">
        <v>59</v>
      </c>
      <c r="D409" t="s">
        <v>327</v>
      </c>
      <c r="E409" t="s">
        <v>421</v>
      </c>
      <c r="F409" t="s">
        <v>422</v>
      </c>
      <c r="G409" t="s">
        <v>360</v>
      </c>
      <c r="H409">
        <v>50</v>
      </c>
      <c r="I409">
        <v>125208</v>
      </c>
      <c r="J409">
        <v>10407375</v>
      </c>
      <c r="K409">
        <v>1</v>
      </c>
      <c r="L409">
        <v>2024</v>
      </c>
    </row>
    <row r="410" spans="1:12" x14ac:dyDescent="0.3">
      <c r="A410" t="s">
        <v>58</v>
      </c>
      <c r="B410">
        <v>27</v>
      </c>
      <c r="C410" t="s">
        <v>533</v>
      </c>
      <c r="D410" t="s">
        <v>237</v>
      </c>
      <c r="E410" t="s">
        <v>358</v>
      </c>
      <c r="F410" t="s">
        <v>359</v>
      </c>
      <c r="G410" t="s">
        <v>360</v>
      </c>
      <c r="H410">
        <v>1030</v>
      </c>
      <c r="I410">
        <v>2211598</v>
      </c>
      <c r="J410">
        <v>153658752</v>
      </c>
      <c r="K410">
        <v>3</v>
      </c>
      <c r="L410">
        <v>2019</v>
      </c>
    </row>
    <row r="411" spans="1:12" x14ac:dyDescent="0.3">
      <c r="A411" t="s">
        <v>42</v>
      </c>
      <c r="B411">
        <v>33</v>
      </c>
      <c r="C411" t="s">
        <v>176</v>
      </c>
      <c r="D411" t="s">
        <v>215</v>
      </c>
      <c r="E411" t="s">
        <v>358</v>
      </c>
      <c r="F411" t="s">
        <v>359</v>
      </c>
      <c r="G411" t="s">
        <v>360</v>
      </c>
      <c r="H411">
        <v>43</v>
      </c>
      <c r="I411">
        <v>23496</v>
      </c>
      <c r="J411">
        <v>1743052</v>
      </c>
      <c r="K411">
        <v>8</v>
      </c>
      <c r="L411">
        <v>2021</v>
      </c>
    </row>
    <row r="412" spans="1:12" x14ac:dyDescent="0.3">
      <c r="A412" t="s">
        <v>58</v>
      </c>
      <c r="B412">
        <v>27</v>
      </c>
      <c r="C412" t="s">
        <v>59</v>
      </c>
      <c r="D412" t="s">
        <v>263</v>
      </c>
      <c r="E412" t="s">
        <v>370</v>
      </c>
      <c r="F412" t="s">
        <v>371</v>
      </c>
      <c r="G412" t="s">
        <v>360</v>
      </c>
      <c r="H412">
        <v>406</v>
      </c>
      <c r="I412">
        <v>1816344</v>
      </c>
      <c r="J412">
        <v>131167857</v>
      </c>
      <c r="K412">
        <v>9</v>
      </c>
      <c r="L412">
        <v>2018</v>
      </c>
    </row>
    <row r="413" spans="1:12" x14ac:dyDescent="0.3">
      <c r="A413" t="s">
        <v>18</v>
      </c>
      <c r="B413">
        <v>6</v>
      </c>
      <c r="C413" t="s">
        <v>566</v>
      </c>
      <c r="D413" t="s">
        <v>30</v>
      </c>
      <c r="E413" t="s">
        <v>421</v>
      </c>
      <c r="F413" t="s">
        <v>422</v>
      </c>
      <c r="G413" t="s">
        <v>360</v>
      </c>
      <c r="H413">
        <v>3</v>
      </c>
      <c r="I413">
        <v>11969</v>
      </c>
      <c r="J413">
        <v>851539</v>
      </c>
      <c r="K413">
        <v>8</v>
      </c>
      <c r="L413">
        <v>2019</v>
      </c>
    </row>
    <row r="414" spans="1:12" x14ac:dyDescent="0.3">
      <c r="A414" t="s">
        <v>18</v>
      </c>
      <c r="B414">
        <v>6</v>
      </c>
      <c r="C414" t="s">
        <v>233</v>
      </c>
      <c r="D414" t="s">
        <v>184</v>
      </c>
      <c r="E414" t="s">
        <v>358</v>
      </c>
      <c r="F414" t="s">
        <v>359</v>
      </c>
      <c r="G414" t="s">
        <v>360</v>
      </c>
      <c r="H414">
        <v>49</v>
      </c>
      <c r="I414">
        <v>81552</v>
      </c>
      <c r="J414">
        <v>6077801</v>
      </c>
      <c r="K414">
        <v>7</v>
      </c>
      <c r="L414">
        <v>2021</v>
      </c>
    </row>
    <row r="415" spans="1:12" x14ac:dyDescent="0.3">
      <c r="A415" t="s">
        <v>79</v>
      </c>
      <c r="B415">
        <v>9</v>
      </c>
      <c r="C415" t="s">
        <v>446</v>
      </c>
      <c r="D415" t="s">
        <v>294</v>
      </c>
      <c r="E415" t="s">
        <v>421</v>
      </c>
      <c r="F415" t="s">
        <v>422</v>
      </c>
      <c r="G415" t="s">
        <v>360</v>
      </c>
      <c r="H415">
        <v>109</v>
      </c>
      <c r="I415">
        <v>51559</v>
      </c>
      <c r="J415">
        <v>4239924</v>
      </c>
      <c r="K415">
        <v>6</v>
      </c>
      <c r="L415">
        <v>2023</v>
      </c>
    </row>
    <row r="416" spans="1:12" x14ac:dyDescent="0.3">
      <c r="A416" t="s">
        <v>275</v>
      </c>
      <c r="B416">
        <v>28</v>
      </c>
      <c r="C416" t="s">
        <v>602</v>
      </c>
      <c r="D416" t="s">
        <v>153</v>
      </c>
      <c r="E416" t="s">
        <v>123</v>
      </c>
      <c r="F416" t="s">
        <v>553</v>
      </c>
      <c r="G416" t="s">
        <v>365</v>
      </c>
      <c r="H416">
        <v>9</v>
      </c>
      <c r="I416">
        <v>10672</v>
      </c>
      <c r="J416">
        <v>890075</v>
      </c>
      <c r="K416">
        <v>5</v>
      </c>
      <c r="L416">
        <v>2024</v>
      </c>
    </row>
    <row r="417" spans="1:12" x14ac:dyDescent="0.3">
      <c r="A417" t="s">
        <v>137</v>
      </c>
      <c r="B417">
        <v>36</v>
      </c>
      <c r="C417" t="s">
        <v>148</v>
      </c>
      <c r="D417" t="s">
        <v>193</v>
      </c>
      <c r="E417" t="s">
        <v>500</v>
      </c>
      <c r="F417" t="s">
        <v>501</v>
      </c>
      <c r="G417" t="s">
        <v>365</v>
      </c>
      <c r="H417">
        <v>1</v>
      </c>
      <c r="I417">
        <v>552</v>
      </c>
      <c r="J417">
        <v>43076</v>
      </c>
      <c r="K417">
        <v>6</v>
      </c>
      <c r="L417">
        <v>2022</v>
      </c>
    </row>
    <row r="418" spans="1:12" x14ac:dyDescent="0.3">
      <c r="A418" t="s">
        <v>73</v>
      </c>
      <c r="B418">
        <v>3</v>
      </c>
      <c r="C418" t="s">
        <v>74</v>
      </c>
      <c r="D418" t="s">
        <v>108</v>
      </c>
      <c r="E418" t="s">
        <v>447</v>
      </c>
      <c r="F418" t="s">
        <v>448</v>
      </c>
      <c r="G418" t="s">
        <v>365</v>
      </c>
      <c r="H418">
        <v>66840</v>
      </c>
      <c r="I418">
        <v>78908</v>
      </c>
      <c r="J418">
        <v>5970194</v>
      </c>
      <c r="K418">
        <v>5</v>
      </c>
      <c r="L418">
        <v>2020</v>
      </c>
    </row>
    <row r="419" spans="1:12" x14ac:dyDescent="0.3">
      <c r="A419" t="s">
        <v>42</v>
      </c>
      <c r="B419">
        <v>33</v>
      </c>
      <c r="C419" t="s">
        <v>43</v>
      </c>
      <c r="D419" t="s">
        <v>231</v>
      </c>
      <c r="E419" t="s">
        <v>492</v>
      </c>
      <c r="F419" t="s">
        <v>493</v>
      </c>
      <c r="G419" t="s">
        <v>365</v>
      </c>
      <c r="H419">
        <v>121</v>
      </c>
      <c r="I419">
        <v>2589</v>
      </c>
      <c r="J419">
        <v>215925</v>
      </c>
      <c r="K419">
        <v>4</v>
      </c>
      <c r="L419">
        <v>2024</v>
      </c>
    </row>
    <row r="420" spans="1:12" x14ac:dyDescent="0.3">
      <c r="A420" t="s">
        <v>132</v>
      </c>
      <c r="B420">
        <v>19</v>
      </c>
      <c r="C420" t="s">
        <v>400</v>
      </c>
      <c r="D420" t="s">
        <v>126</v>
      </c>
      <c r="E420" t="s">
        <v>363</v>
      </c>
      <c r="F420" t="s">
        <v>603</v>
      </c>
      <c r="G420" t="s">
        <v>365</v>
      </c>
      <c r="H420">
        <v>10994</v>
      </c>
      <c r="I420">
        <v>11740</v>
      </c>
      <c r="J420">
        <v>879471</v>
      </c>
      <c r="K420">
        <v>10</v>
      </c>
      <c r="L420">
        <v>2021</v>
      </c>
    </row>
    <row r="421" spans="1:12" x14ac:dyDescent="0.3">
      <c r="A421" t="s">
        <v>132</v>
      </c>
      <c r="B421">
        <v>19</v>
      </c>
      <c r="C421" t="s">
        <v>209</v>
      </c>
      <c r="D421" t="s">
        <v>194</v>
      </c>
      <c r="E421" t="s">
        <v>480</v>
      </c>
      <c r="F421" t="s">
        <v>481</v>
      </c>
      <c r="G421" t="s">
        <v>365</v>
      </c>
      <c r="H421">
        <v>93100</v>
      </c>
      <c r="I421">
        <v>274684</v>
      </c>
      <c r="J421">
        <v>19588781</v>
      </c>
      <c r="K421">
        <v>1</v>
      </c>
      <c r="L421">
        <v>2020</v>
      </c>
    </row>
    <row r="422" spans="1:12" x14ac:dyDescent="0.3">
      <c r="A422" t="s">
        <v>23</v>
      </c>
      <c r="B422">
        <v>24</v>
      </c>
      <c r="C422" t="s">
        <v>24</v>
      </c>
      <c r="D422" t="s">
        <v>350</v>
      </c>
      <c r="E422" t="s">
        <v>363</v>
      </c>
      <c r="F422" t="s">
        <v>603</v>
      </c>
      <c r="G422" t="s">
        <v>365</v>
      </c>
      <c r="H422">
        <v>96600</v>
      </c>
      <c r="I422">
        <v>37863</v>
      </c>
      <c r="J422">
        <v>2785109</v>
      </c>
      <c r="K422">
        <v>6</v>
      </c>
      <c r="L422">
        <v>2021</v>
      </c>
    </row>
    <row r="423" spans="1:12" x14ac:dyDescent="0.3">
      <c r="A423" t="s">
        <v>58</v>
      </c>
      <c r="B423">
        <v>27</v>
      </c>
      <c r="C423" t="s">
        <v>125</v>
      </c>
      <c r="D423" t="s">
        <v>108</v>
      </c>
      <c r="E423" t="s">
        <v>438</v>
      </c>
      <c r="F423" t="s">
        <v>439</v>
      </c>
      <c r="G423" t="s">
        <v>365</v>
      </c>
      <c r="H423">
        <v>2741</v>
      </c>
      <c r="I423">
        <v>1031163</v>
      </c>
      <c r="J423">
        <v>76667690</v>
      </c>
      <c r="K423">
        <v>3</v>
      </c>
      <c r="L423">
        <v>2020</v>
      </c>
    </row>
    <row r="424" spans="1:12" x14ac:dyDescent="0.3">
      <c r="A424" t="s">
        <v>47</v>
      </c>
      <c r="B424">
        <v>7</v>
      </c>
      <c r="C424" t="s">
        <v>509</v>
      </c>
      <c r="D424" t="s">
        <v>190</v>
      </c>
      <c r="E424" t="s">
        <v>480</v>
      </c>
      <c r="F424" t="s">
        <v>481</v>
      </c>
      <c r="G424" t="s">
        <v>365</v>
      </c>
      <c r="H424">
        <v>1440</v>
      </c>
      <c r="I424">
        <v>20614</v>
      </c>
      <c r="J424">
        <v>1392286</v>
      </c>
      <c r="K424">
        <v>5</v>
      </c>
      <c r="L424">
        <v>2018</v>
      </c>
    </row>
    <row r="425" spans="1:12" x14ac:dyDescent="0.3">
      <c r="A425" t="s">
        <v>28</v>
      </c>
      <c r="B425">
        <v>29</v>
      </c>
      <c r="C425" t="s">
        <v>312</v>
      </c>
      <c r="D425" t="s">
        <v>90</v>
      </c>
      <c r="E425" t="s">
        <v>451</v>
      </c>
      <c r="F425" t="s">
        <v>524</v>
      </c>
      <c r="G425" t="s">
        <v>365</v>
      </c>
      <c r="H425">
        <v>60000</v>
      </c>
      <c r="I425">
        <v>128394</v>
      </c>
      <c r="J425">
        <v>9546212</v>
      </c>
      <c r="K425">
        <v>3</v>
      </c>
      <c r="L425">
        <v>2020</v>
      </c>
    </row>
    <row r="426" spans="1:12" x14ac:dyDescent="0.3">
      <c r="A426" t="s">
        <v>28</v>
      </c>
      <c r="B426">
        <v>29</v>
      </c>
      <c r="C426" t="s">
        <v>312</v>
      </c>
      <c r="D426" t="s">
        <v>194</v>
      </c>
      <c r="E426" t="s">
        <v>436</v>
      </c>
      <c r="F426" t="s">
        <v>437</v>
      </c>
      <c r="G426" t="s">
        <v>365</v>
      </c>
      <c r="H426">
        <v>5164642</v>
      </c>
      <c r="I426">
        <v>5194679</v>
      </c>
      <c r="J426">
        <v>387143874</v>
      </c>
      <c r="K426">
        <v>7</v>
      </c>
      <c r="L426">
        <v>2021</v>
      </c>
    </row>
    <row r="427" spans="1:12" x14ac:dyDescent="0.3">
      <c r="A427" t="s">
        <v>58</v>
      </c>
      <c r="B427">
        <v>27</v>
      </c>
      <c r="C427" t="s">
        <v>125</v>
      </c>
      <c r="D427" t="s">
        <v>89</v>
      </c>
      <c r="E427" t="s">
        <v>470</v>
      </c>
      <c r="F427" t="s">
        <v>471</v>
      </c>
      <c r="G427" t="s">
        <v>365</v>
      </c>
      <c r="H427">
        <v>175</v>
      </c>
      <c r="I427">
        <v>1139</v>
      </c>
      <c r="J427">
        <v>80571</v>
      </c>
      <c r="K427">
        <v>12</v>
      </c>
      <c r="L427">
        <v>2018</v>
      </c>
    </row>
    <row r="428" spans="1:12" x14ac:dyDescent="0.3">
      <c r="A428" t="s">
        <v>47</v>
      </c>
      <c r="B428">
        <v>7</v>
      </c>
      <c r="C428" t="s">
        <v>48</v>
      </c>
      <c r="D428" t="s">
        <v>350</v>
      </c>
      <c r="E428" t="s">
        <v>436</v>
      </c>
      <c r="F428" t="s">
        <v>437</v>
      </c>
      <c r="G428" t="s">
        <v>365</v>
      </c>
      <c r="H428">
        <v>321</v>
      </c>
      <c r="I428">
        <v>2949</v>
      </c>
      <c r="J428">
        <v>242291</v>
      </c>
      <c r="K428">
        <v>7</v>
      </c>
      <c r="L428">
        <v>2023</v>
      </c>
    </row>
    <row r="429" spans="1:12" x14ac:dyDescent="0.3">
      <c r="A429" t="s">
        <v>42</v>
      </c>
      <c r="B429">
        <v>33</v>
      </c>
      <c r="C429" t="s">
        <v>525</v>
      </c>
      <c r="D429" t="s">
        <v>294</v>
      </c>
      <c r="E429" t="s">
        <v>451</v>
      </c>
      <c r="F429" t="s">
        <v>524</v>
      </c>
      <c r="G429" t="s">
        <v>365</v>
      </c>
      <c r="H429">
        <v>8800</v>
      </c>
      <c r="I429">
        <v>23218</v>
      </c>
      <c r="J429">
        <v>1568160</v>
      </c>
      <c r="K429">
        <v>5</v>
      </c>
      <c r="L429">
        <v>2018</v>
      </c>
    </row>
    <row r="430" spans="1:12" x14ac:dyDescent="0.3">
      <c r="A430" t="s">
        <v>23</v>
      </c>
      <c r="B430">
        <v>24</v>
      </c>
      <c r="C430" t="s">
        <v>295</v>
      </c>
      <c r="D430" t="s">
        <v>251</v>
      </c>
      <c r="E430" t="s">
        <v>490</v>
      </c>
      <c r="F430" t="s">
        <v>491</v>
      </c>
      <c r="G430" t="s">
        <v>365</v>
      </c>
      <c r="H430">
        <v>20000</v>
      </c>
      <c r="I430">
        <v>30917</v>
      </c>
      <c r="J430">
        <v>2304180</v>
      </c>
      <c r="K430">
        <v>7</v>
      </c>
      <c r="L430">
        <v>2021</v>
      </c>
    </row>
    <row r="431" spans="1:12" x14ac:dyDescent="0.3">
      <c r="A431" t="s">
        <v>42</v>
      </c>
      <c r="B431">
        <v>33</v>
      </c>
      <c r="C431" t="s">
        <v>111</v>
      </c>
      <c r="D431" t="s">
        <v>190</v>
      </c>
      <c r="E431" t="s">
        <v>474</v>
      </c>
      <c r="F431" t="s">
        <v>475</v>
      </c>
      <c r="G431" t="s">
        <v>365</v>
      </c>
      <c r="H431">
        <v>310</v>
      </c>
      <c r="I431">
        <v>6118</v>
      </c>
      <c r="J431">
        <v>510271</v>
      </c>
      <c r="K431">
        <v>5</v>
      </c>
      <c r="L431">
        <v>2024</v>
      </c>
    </row>
    <row r="432" spans="1:12" x14ac:dyDescent="0.3">
      <c r="A432" t="s">
        <v>47</v>
      </c>
      <c r="B432">
        <v>7</v>
      </c>
      <c r="C432" t="s">
        <v>48</v>
      </c>
      <c r="D432" t="s">
        <v>131</v>
      </c>
      <c r="E432" t="s">
        <v>494</v>
      </c>
      <c r="F432" t="s">
        <v>526</v>
      </c>
      <c r="G432" t="s">
        <v>365</v>
      </c>
      <c r="H432">
        <v>115804</v>
      </c>
      <c r="I432">
        <v>290178</v>
      </c>
      <c r="J432">
        <v>21260689</v>
      </c>
      <c r="K432">
        <v>5</v>
      </c>
      <c r="L432">
        <v>2021</v>
      </c>
    </row>
    <row r="433" spans="1:12" x14ac:dyDescent="0.3">
      <c r="A433" t="s">
        <v>58</v>
      </c>
      <c r="B433">
        <v>27</v>
      </c>
      <c r="C433" t="s">
        <v>59</v>
      </c>
      <c r="D433" t="s">
        <v>163</v>
      </c>
      <c r="E433" t="s">
        <v>436</v>
      </c>
      <c r="F433" t="s">
        <v>437</v>
      </c>
      <c r="G433" t="s">
        <v>365</v>
      </c>
      <c r="H433">
        <v>180400</v>
      </c>
      <c r="I433">
        <v>95224</v>
      </c>
      <c r="J433">
        <v>6622484</v>
      </c>
      <c r="K433">
        <v>8</v>
      </c>
      <c r="L433">
        <v>2018</v>
      </c>
    </row>
    <row r="434" spans="1:12" x14ac:dyDescent="0.3">
      <c r="A434" t="s">
        <v>42</v>
      </c>
      <c r="B434">
        <v>33</v>
      </c>
      <c r="C434" t="s">
        <v>43</v>
      </c>
      <c r="D434" t="s">
        <v>194</v>
      </c>
      <c r="E434" t="s">
        <v>375</v>
      </c>
      <c r="F434" t="s">
        <v>376</v>
      </c>
      <c r="G434" t="s">
        <v>365</v>
      </c>
      <c r="H434">
        <v>13994</v>
      </c>
      <c r="I434">
        <v>453573</v>
      </c>
      <c r="J434">
        <v>33764723</v>
      </c>
      <c r="K434">
        <v>1</v>
      </c>
      <c r="L434">
        <v>2022</v>
      </c>
    </row>
    <row r="435" spans="1:12" x14ac:dyDescent="0.3">
      <c r="A435" t="s">
        <v>47</v>
      </c>
      <c r="B435">
        <v>7</v>
      </c>
      <c r="C435" t="s">
        <v>509</v>
      </c>
      <c r="D435" t="s">
        <v>90</v>
      </c>
      <c r="E435" t="s">
        <v>527</v>
      </c>
      <c r="F435" t="s">
        <v>528</v>
      </c>
      <c r="G435" t="s">
        <v>365</v>
      </c>
      <c r="H435">
        <v>9040</v>
      </c>
      <c r="I435">
        <v>53458</v>
      </c>
      <c r="J435">
        <v>3672198</v>
      </c>
      <c r="K435">
        <v>7</v>
      </c>
      <c r="L435">
        <v>2018</v>
      </c>
    </row>
    <row r="436" spans="1:12" x14ac:dyDescent="0.3">
      <c r="A436" t="s">
        <v>12</v>
      </c>
      <c r="B436">
        <v>8</v>
      </c>
      <c r="C436" t="s">
        <v>165</v>
      </c>
      <c r="D436" t="s">
        <v>167</v>
      </c>
      <c r="E436" t="s">
        <v>363</v>
      </c>
      <c r="F436" t="s">
        <v>603</v>
      </c>
      <c r="G436" t="s">
        <v>365</v>
      </c>
      <c r="H436">
        <v>120</v>
      </c>
      <c r="I436">
        <v>4384</v>
      </c>
      <c r="J436">
        <v>362120</v>
      </c>
      <c r="K436">
        <v>2</v>
      </c>
      <c r="L436">
        <v>2023</v>
      </c>
    </row>
    <row r="437" spans="1:12" x14ac:dyDescent="0.3">
      <c r="A437" t="s">
        <v>42</v>
      </c>
      <c r="B437">
        <v>33</v>
      </c>
      <c r="C437" t="s">
        <v>111</v>
      </c>
      <c r="D437" t="s">
        <v>105</v>
      </c>
      <c r="E437" t="s">
        <v>453</v>
      </c>
      <c r="F437" t="s">
        <v>454</v>
      </c>
      <c r="G437" t="s">
        <v>365</v>
      </c>
      <c r="H437">
        <v>770</v>
      </c>
      <c r="I437">
        <v>14176</v>
      </c>
      <c r="J437">
        <v>984929</v>
      </c>
      <c r="K437">
        <v>3</v>
      </c>
      <c r="L437">
        <v>2019</v>
      </c>
    </row>
    <row r="438" spans="1:12" x14ac:dyDescent="0.3">
      <c r="A438" t="s">
        <v>42</v>
      </c>
      <c r="B438">
        <v>33</v>
      </c>
      <c r="C438" t="s">
        <v>111</v>
      </c>
      <c r="D438" t="s">
        <v>294</v>
      </c>
      <c r="E438" t="s">
        <v>121</v>
      </c>
      <c r="F438" t="s">
        <v>122</v>
      </c>
      <c r="G438" t="s">
        <v>365</v>
      </c>
      <c r="H438">
        <v>71</v>
      </c>
      <c r="I438">
        <v>5257</v>
      </c>
      <c r="J438">
        <v>434246</v>
      </c>
      <c r="K438">
        <v>2</v>
      </c>
      <c r="L438">
        <v>2023</v>
      </c>
    </row>
    <row r="439" spans="1:12" x14ac:dyDescent="0.3">
      <c r="A439" t="s">
        <v>132</v>
      </c>
      <c r="B439">
        <v>19</v>
      </c>
      <c r="C439" t="s">
        <v>209</v>
      </c>
      <c r="D439" t="s">
        <v>288</v>
      </c>
      <c r="E439" t="s">
        <v>436</v>
      </c>
      <c r="F439" t="s">
        <v>437</v>
      </c>
      <c r="G439" t="s">
        <v>365</v>
      </c>
      <c r="H439">
        <v>840000</v>
      </c>
      <c r="I439">
        <v>227392</v>
      </c>
      <c r="J439">
        <v>16927437</v>
      </c>
      <c r="K439">
        <v>1</v>
      </c>
      <c r="L439">
        <v>2022</v>
      </c>
    </row>
    <row r="440" spans="1:12" x14ac:dyDescent="0.3">
      <c r="A440" t="s">
        <v>28</v>
      </c>
      <c r="B440">
        <v>29</v>
      </c>
      <c r="C440" t="s">
        <v>29</v>
      </c>
      <c r="D440" t="s">
        <v>30</v>
      </c>
      <c r="E440" t="s">
        <v>460</v>
      </c>
      <c r="F440" t="s">
        <v>461</v>
      </c>
      <c r="G440" t="s">
        <v>365</v>
      </c>
      <c r="H440">
        <v>161</v>
      </c>
      <c r="I440">
        <v>694468</v>
      </c>
      <c r="J440">
        <v>48455200</v>
      </c>
      <c r="K440">
        <v>5</v>
      </c>
      <c r="L440">
        <v>2019</v>
      </c>
    </row>
    <row r="441" spans="1:12" x14ac:dyDescent="0.3">
      <c r="A441" t="s">
        <v>58</v>
      </c>
      <c r="B441">
        <v>27</v>
      </c>
      <c r="C441" t="s">
        <v>59</v>
      </c>
      <c r="D441" t="s">
        <v>167</v>
      </c>
      <c r="E441" t="s">
        <v>571</v>
      </c>
      <c r="F441" t="s">
        <v>572</v>
      </c>
      <c r="G441" t="s">
        <v>365</v>
      </c>
      <c r="H441">
        <v>95834</v>
      </c>
      <c r="I441">
        <v>482926</v>
      </c>
      <c r="J441">
        <v>39673278</v>
      </c>
      <c r="K441">
        <v>7</v>
      </c>
      <c r="L441">
        <v>2023</v>
      </c>
    </row>
    <row r="442" spans="1:12" x14ac:dyDescent="0.3">
      <c r="A442" t="s">
        <v>132</v>
      </c>
      <c r="B442">
        <v>19</v>
      </c>
      <c r="C442" t="s">
        <v>133</v>
      </c>
      <c r="D442" t="s">
        <v>90</v>
      </c>
      <c r="E442" t="s">
        <v>363</v>
      </c>
      <c r="F442" t="s">
        <v>603</v>
      </c>
      <c r="G442" t="s">
        <v>365</v>
      </c>
      <c r="H442">
        <v>1545</v>
      </c>
      <c r="I442">
        <v>15173</v>
      </c>
      <c r="J442">
        <v>1261182</v>
      </c>
      <c r="K442">
        <v>1</v>
      </c>
      <c r="L442">
        <v>2024</v>
      </c>
    </row>
    <row r="443" spans="1:12" x14ac:dyDescent="0.3">
      <c r="A443" t="s">
        <v>79</v>
      </c>
      <c r="B443">
        <v>9</v>
      </c>
      <c r="C443" t="s">
        <v>189</v>
      </c>
      <c r="D443" t="s">
        <v>44</v>
      </c>
      <c r="E443" t="s">
        <v>500</v>
      </c>
      <c r="F443" t="s">
        <v>501</v>
      </c>
      <c r="G443" t="s">
        <v>365</v>
      </c>
      <c r="H443">
        <v>36000</v>
      </c>
      <c r="I443">
        <v>259887</v>
      </c>
      <c r="J443">
        <v>21561120</v>
      </c>
      <c r="K443">
        <v>2</v>
      </c>
      <c r="L443">
        <v>2024</v>
      </c>
    </row>
    <row r="444" spans="1:12" x14ac:dyDescent="0.3">
      <c r="A444" t="s">
        <v>18</v>
      </c>
      <c r="B444">
        <v>6</v>
      </c>
      <c r="C444" t="s">
        <v>19</v>
      </c>
      <c r="D444" t="s">
        <v>277</v>
      </c>
      <c r="E444" t="s">
        <v>363</v>
      </c>
      <c r="F444" t="s">
        <v>603</v>
      </c>
      <c r="G444" t="s">
        <v>365</v>
      </c>
      <c r="H444">
        <v>786</v>
      </c>
      <c r="I444">
        <v>3378</v>
      </c>
      <c r="J444">
        <v>268894</v>
      </c>
      <c r="K444">
        <v>7</v>
      </c>
      <c r="L444">
        <v>2022</v>
      </c>
    </row>
    <row r="445" spans="1:12" x14ac:dyDescent="0.3">
      <c r="A445" t="s">
        <v>23</v>
      </c>
      <c r="B445">
        <v>24</v>
      </c>
      <c r="C445" t="s">
        <v>24</v>
      </c>
      <c r="D445" t="s">
        <v>194</v>
      </c>
      <c r="E445" t="s">
        <v>436</v>
      </c>
      <c r="F445" t="s">
        <v>437</v>
      </c>
      <c r="G445" t="s">
        <v>365</v>
      </c>
      <c r="H445">
        <v>1125000</v>
      </c>
      <c r="I445">
        <v>291976</v>
      </c>
      <c r="J445">
        <v>21346217</v>
      </c>
      <c r="K445">
        <v>1</v>
      </c>
      <c r="L445">
        <v>2021</v>
      </c>
    </row>
    <row r="446" spans="1:12" x14ac:dyDescent="0.3">
      <c r="A446" t="s">
        <v>58</v>
      </c>
      <c r="B446">
        <v>27</v>
      </c>
      <c r="C446" t="s">
        <v>59</v>
      </c>
      <c r="D446" t="s">
        <v>180</v>
      </c>
      <c r="E446" t="s">
        <v>490</v>
      </c>
      <c r="F446" t="s">
        <v>491</v>
      </c>
      <c r="G446" t="s">
        <v>365</v>
      </c>
      <c r="H446">
        <v>154500</v>
      </c>
      <c r="I446">
        <v>193163</v>
      </c>
      <c r="J446">
        <v>13779009</v>
      </c>
      <c r="K446">
        <v>9</v>
      </c>
      <c r="L446">
        <v>2019</v>
      </c>
    </row>
    <row r="447" spans="1:12" x14ac:dyDescent="0.3">
      <c r="A447" t="s">
        <v>58</v>
      </c>
      <c r="B447">
        <v>27</v>
      </c>
      <c r="C447" t="s">
        <v>125</v>
      </c>
      <c r="D447" t="s">
        <v>317</v>
      </c>
      <c r="E447" t="s">
        <v>460</v>
      </c>
      <c r="F447" t="s">
        <v>461</v>
      </c>
      <c r="G447" t="s">
        <v>365</v>
      </c>
      <c r="H447">
        <v>4283</v>
      </c>
      <c r="I447">
        <v>337400</v>
      </c>
      <c r="J447">
        <v>26342377</v>
      </c>
      <c r="K447">
        <v>6</v>
      </c>
      <c r="L447">
        <v>2022</v>
      </c>
    </row>
    <row r="448" spans="1:12" x14ac:dyDescent="0.3">
      <c r="A448" t="s">
        <v>28</v>
      </c>
      <c r="B448">
        <v>29</v>
      </c>
      <c r="C448" t="s">
        <v>236</v>
      </c>
      <c r="D448" t="s">
        <v>237</v>
      </c>
      <c r="E448" t="s">
        <v>363</v>
      </c>
      <c r="F448" t="s">
        <v>603</v>
      </c>
      <c r="G448" t="s">
        <v>365</v>
      </c>
      <c r="H448">
        <v>21474</v>
      </c>
      <c r="I448">
        <v>267066</v>
      </c>
      <c r="J448">
        <v>19013116</v>
      </c>
      <c r="K448">
        <v>12</v>
      </c>
      <c r="L448">
        <v>2019</v>
      </c>
    </row>
    <row r="449" spans="1:12" x14ac:dyDescent="0.3">
      <c r="A449" t="s">
        <v>132</v>
      </c>
      <c r="B449">
        <v>19</v>
      </c>
      <c r="C449" t="s">
        <v>133</v>
      </c>
      <c r="D449" t="s">
        <v>251</v>
      </c>
      <c r="E449" t="s">
        <v>604</v>
      </c>
      <c r="F449" t="s">
        <v>605</v>
      </c>
      <c r="G449" t="s">
        <v>365</v>
      </c>
      <c r="H449">
        <v>79</v>
      </c>
      <c r="I449">
        <v>795</v>
      </c>
      <c r="J449">
        <v>59608</v>
      </c>
      <c r="K449">
        <v>2</v>
      </c>
      <c r="L449">
        <v>2022</v>
      </c>
    </row>
    <row r="450" spans="1:12" x14ac:dyDescent="0.3">
      <c r="A450" t="s">
        <v>42</v>
      </c>
      <c r="B450">
        <v>33</v>
      </c>
      <c r="C450" t="s">
        <v>43</v>
      </c>
      <c r="D450" t="s">
        <v>194</v>
      </c>
      <c r="E450" t="s">
        <v>460</v>
      </c>
      <c r="F450" t="s">
        <v>461</v>
      </c>
      <c r="G450" t="s">
        <v>365</v>
      </c>
      <c r="H450">
        <v>17600</v>
      </c>
      <c r="I450">
        <v>257862</v>
      </c>
      <c r="J450">
        <v>21505579</v>
      </c>
      <c r="K450">
        <v>5</v>
      </c>
      <c r="L450">
        <v>2024</v>
      </c>
    </row>
    <row r="451" spans="1:12" x14ac:dyDescent="0.3">
      <c r="A451" t="s">
        <v>23</v>
      </c>
      <c r="B451">
        <v>24</v>
      </c>
      <c r="C451" t="s">
        <v>218</v>
      </c>
      <c r="D451" t="s">
        <v>251</v>
      </c>
      <c r="E451" t="s">
        <v>451</v>
      </c>
      <c r="F451" t="s">
        <v>524</v>
      </c>
      <c r="G451" t="s">
        <v>365</v>
      </c>
      <c r="H451">
        <v>43</v>
      </c>
      <c r="I451">
        <v>1249</v>
      </c>
      <c r="J451">
        <v>80431</v>
      </c>
      <c r="K451">
        <v>2</v>
      </c>
      <c r="L451">
        <v>2018</v>
      </c>
    </row>
    <row r="452" spans="1:12" x14ac:dyDescent="0.3">
      <c r="A452" t="s">
        <v>137</v>
      </c>
      <c r="B452">
        <v>36</v>
      </c>
      <c r="C452" t="s">
        <v>148</v>
      </c>
      <c r="D452" t="s">
        <v>251</v>
      </c>
      <c r="E452" t="s">
        <v>123</v>
      </c>
      <c r="F452" t="s">
        <v>553</v>
      </c>
      <c r="G452" t="s">
        <v>365</v>
      </c>
      <c r="H452">
        <v>2</v>
      </c>
      <c r="I452">
        <v>2305</v>
      </c>
      <c r="J452">
        <v>175768</v>
      </c>
      <c r="K452">
        <v>3</v>
      </c>
      <c r="L452">
        <v>2022</v>
      </c>
    </row>
    <row r="453" spans="1:12" x14ac:dyDescent="0.3">
      <c r="A453" t="s">
        <v>58</v>
      </c>
      <c r="B453">
        <v>27</v>
      </c>
      <c r="C453" t="s">
        <v>59</v>
      </c>
      <c r="D453" t="s">
        <v>14</v>
      </c>
      <c r="E453" t="s">
        <v>160</v>
      </c>
      <c r="F453" t="s">
        <v>161</v>
      </c>
      <c r="G453" t="s">
        <v>365</v>
      </c>
      <c r="H453">
        <v>10560</v>
      </c>
      <c r="I453">
        <v>15303</v>
      </c>
      <c r="J453">
        <v>1135219</v>
      </c>
      <c r="K453">
        <v>8</v>
      </c>
      <c r="L453">
        <v>2021</v>
      </c>
    </row>
    <row r="454" spans="1:12" x14ac:dyDescent="0.3">
      <c r="A454" t="s">
        <v>132</v>
      </c>
      <c r="B454">
        <v>19</v>
      </c>
      <c r="C454" t="s">
        <v>133</v>
      </c>
      <c r="D454" t="s">
        <v>35</v>
      </c>
      <c r="E454" t="s">
        <v>492</v>
      </c>
      <c r="F454" t="s">
        <v>493</v>
      </c>
      <c r="G454" t="s">
        <v>365</v>
      </c>
      <c r="H454">
        <v>15</v>
      </c>
      <c r="I454">
        <v>6986</v>
      </c>
      <c r="J454">
        <v>577072</v>
      </c>
      <c r="K454">
        <v>2</v>
      </c>
      <c r="L454">
        <v>2023</v>
      </c>
    </row>
    <row r="455" spans="1:12" x14ac:dyDescent="0.3">
      <c r="A455" t="s">
        <v>79</v>
      </c>
      <c r="B455">
        <v>9</v>
      </c>
      <c r="C455" t="s">
        <v>511</v>
      </c>
      <c r="D455" t="s">
        <v>105</v>
      </c>
      <c r="E455" t="s">
        <v>571</v>
      </c>
      <c r="F455" t="s">
        <v>572</v>
      </c>
      <c r="G455" t="s">
        <v>365</v>
      </c>
      <c r="H455">
        <v>766020</v>
      </c>
      <c r="I455">
        <v>76106</v>
      </c>
      <c r="J455">
        <v>6338018</v>
      </c>
      <c r="K455">
        <v>12</v>
      </c>
      <c r="L455">
        <v>2023</v>
      </c>
    </row>
    <row r="456" spans="1:12" x14ac:dyDescent="0.3">
      <c r="A456" t="s">
        <v>132</v>
      </c>
      <c r="B456">
        <v>19</v>
      </c>
      <c r="C456" t="s">
        <v>209</v>
      </c>
      <c r="D456" t="s">
        <v>241</v>
      </c>
      <c r="E456" t="s">
        <v>436</v>
      </c>
      <c r="F456" t="s">
        <v>437</v>
      </c>
      <c r="G456" t="s">
        <v>365</v>
      </c>
      <c r="H456">
        <v>6000</v>
      </c>
      <c r="I456">
        <v>19014</v>
      </c>
      <c r="J456">
        <v>1433138</v>
      </c>
      <c r="K456">
        <v>12</v>
      </c>
      <c r="L456">
        <v>2021</v>
      </c>
    </row>
    <row r="457" spans="1:12" x14ac:dyDescent="0.3">
      <c r="A457" t="s">
        <v>58</v>
      </c>
      <c r="B457">
        <v>27</v>
      </c>
      <c r="C457" t="s">
        <v>125</v>
      </c>
      <c r="D457" t="s">
        <v>180</v>
      </c>
      <c r="E457" t="s">
        <v>363</v>
      </c>
      <c r="F457" t="s">
        <v>603</v>
      </c>
      <c r="G457" t="s">
        <v>365</v>
      </c>
      <c r="H457">
        <v>353</v>
      </c>
      <c r="I457">
        <v>31926</v>
      </c>
      <c r="J457">
        <v>2628873</v>
      </c>
      <c r="K457">
        <v>5</v>
      </c>
      <c r="L457">
        <v>2023</v>
      </c>
    </row>
    <row r="458" spans="1:12" x14ac:dyDescent="0.3">
      <c r="A458" t="s">
        <v>23</v>
      </c>
      <c r="B458">
        <v>24</v>
      </c>
      <c r="C458" t="s">
        <v>517</v>
      </c>
      <c r="D458" t="s">
        <v>263</v>
      </c>
      <c r="E458" t="s">
        <v>438</v>
      </c>
      <c r="F458" t="s">
        <v>439</v>
      </c>
      <c r="G458" t="s">
        <v>365</v>
      </c>
      <c r="H458">
        <v>2</v>
      </c>
      <c r="I458">
        <v>1603</v>
      </c>
      <c r="J458">
        <v>115740</v>
      </c>
      <c r="K458">
        <v>9</v>
      </c>
      <c r="L458">
        <v>2018</v>
      </c>
    </row>
    <row r="459" spans="1:12" x14ac:dyDescent="0.3">
      <c r="A459" t="s">
        <v>58</v>
      </c>
      <c r="B459">
        <v>27</v>
      </c>
      <c r="C459" t="s">
        <v>59</v>
      </c>
      <c r="D459" t="s">
        <v>251</v>
      </c>
      <c r="E459" t="s">
        <v>480</v>
      </c>
      <c r="F459" t="s">
        <v>481</v>
      </c>
      <c r="G459" t="s">
        <v>365</v>
      </c>
      <c r="H459">
        <v>198</v>
      </c>
      <c r="I459">
        <v>1810</v>
      </c>
      <c r="J459">
        <v>132323</v>
      </c>
      <c r="K459">
        <v>1</v>
      </c>
      <c r="L459">
        <v>2021</v>
      </c>
    </row>
    <row r="460" spans="1:12" x14ac:dyDescent="0.3">
      <c r="A460" t="s">
        <v>23</v>
      </c>
      <c r="B460">
        <v>24</v>
      </c>
      <c r="C460" t="s">
        <v>24</v>
      </c>
      <c r="D460" t="s">
        <v>261</v>
      </c>
      <c r="E460" t="s">
        <v>444</v>
      </c>
      <c r="F460" t="s">
        <v>445</v>
      </c>
      <c r="G460" t="s">
        <v>365</v>
      </c>
      <c r="H460">
        <v>6000</v>
      </c>
      <c r="I460">
        <v>8552</v>
      </c>
      <c r="J460">
        <v>609063</v>
      </c>
      <c r="K460">
        <v>2</v>
      </c>
      <c r="L460">
        <v>2019</v>
      </c>
    </row>
    <row r="461" spans="1:12" x14ac:dyDescent="0.3">
      <c r="A461" t="s">
        <v>47</v>
      </c>
      <c r="B461">
        <v>7</v>
      </c>
      <c r="C461" t="s">
        <v>48</v>
      </c>
      <c r="D461" t="s">
        <v>215</v>
      </c>
      <c r="E461" t="s">
        <v>442</v>
      </c>
      <c r="F461" t="s">
        <v>443</v>
      </c>
      <c r="G461" t="s">
        <v>365</v>
      </c>
      <c r="H461">
        <v>5224</v>
      </c>
      <c r="I461">
        <v>65125</v>
      </c>
      <c r="J461">
        <v>5402983</v>
      </c>
      <c r="K461">
        <v>2</v>
      </c>
      <c r="L461">
        <v>2024</v>
      </c>
    </row>
    <row r="462" spans="1:12" x14ac:dyDescent="0.3">
      <c r="A462" t="s">
        <v>58</v>
      </c>
      <c r="B462">
        <v>27</v>
      </c>
      <c r="C462" t="s">
        <v>59</v>
      </c>
      <c r="D462" t="s">
        <v>153</v>
      </c>
      <c r="E462" t="s">
        <v>500</v>
      </c>
      <c r="F462" t="s">
        <v>501</v>
      </c>
      <c r="G462" t="s">
        <v>365</v>
      </c>
      <c r="H462">
        <v>1653340</v>
      </c>
      <c r="I462">
        <v>7724790</v>
      </c>
      <c r="J462">
        <v>579383339</v>
      </c>
      <c r="K462">
        <v>2</v>
      </c>
      <c r="L462">
        <v>2022</v>
      </c>
    </row>
    <row r="463" spans="1:12" x14ac:dyDescent="0.3">
      <c r="A463" t="s">
        <v>58</v>
      </c>
      <c r="B463">
        <v>27</v>
      </c>
      <c r="C463" t="s">
        <v>290</v>
      </c>
      <c r="D463" t="s">
        <v>90</v>
      </c>
      <c r="E463" t="s">
        <v>474</v>
      </c>
      <c r="F463" t="s">
        <v>475</v>
      </c>
      <c r="G463" t="s">
        <v>365</v>
      </c>
      <c r="H463">
        <v>3000</v>
      </c>
      <c r="I463">
        <v>16268</v>
      </c>
      <c r="J463">
        <v>1035225</v>
      </c>
      <c r="K463">
        <v>1</v>
      </c>
      <c r="L463">
        <v>2018</v>
      </c>
    </row>
    <row r="464" spans="1:12" x14ac:dyDescent="0.3">
      <c r="A464" t="s">
        <v>23</v>
      </c>
      <c r="B464">
        <v>24</v>
      </c>
      <c r="C464" t="s">
        <v>24</v>
      </c>
      <c r="D464" t="s">
        <v>354</v>
      </c>
      <c r="E464" t="s">
        <v>606</v>
      </c>
      <c r="F464" t="s">
        <v>607</v>
      </c>
      <c r="G464" t="s">
        <v>365</v>
      </c>
      <c r="H464">
        <v>74330</v>
      </c>
      <c r="I464">
        <v>35816</v>
      </c>
      <c r="J464">
        <v>2930130</v>
      </c>
      <c r="K464">
        <v>11</v>
      </c>
      <c r="L464">
        <v>2022</v>
      </c>
    </row>
    <row r="465" spans="1:12" x14ac:dyDescent="0.3">
      <c r="A465" t="s">
        <v>58</v>
      </c>
      <c r="B465">
        <v>27</v>
      </c>
      <c r="C465" t="s">
        <v>59</v>
      </c>
      <c r="D465" t="s">
        <v>193</v>
      </c>
      <c r="E465" t="s">
        <v>453</v>
      </c>
      <c r="F465" t="s">
        <v>454</v>
      </c>
      <c r="G465" t="s">
        <v>365</v>
      </c>
      <c r="H465">
        <v>15605</v>
      </c>
      <c r="I465">
        <v>228218</v>
      </c>
      <c r="J465">
        <v>16968199</v>
      </c>
      <c r="K465">
        <v>3</v>
      </c>
      <c r="L465">
        <v>2020</v>
      </c>
    </row>
    <row r="466" spans="1:12" x14ac:dyDescent="0.3">
      <c r="A466" t="s">
        <v>47</v>
      </c>
      <c r="B466">
        <v>7</v>
      </c>
      <c r="C466" t="s">
        <v>48</v>
      </c>
      <c r="D466" t="s">
        <v>257</v>
      </c>
      <c r="E466" t="s">
        <v>460</v>
      </c>
      <c r="F466" t="s">
        <v>461</v>
      </c>
      <c r="G466" t="s">
        <v>365</v>
      </c>
      <c r="H466">
        <v>450</v>
      </c>
      <c r="I466">
        <v>6234</v>
      </c>
      <c r="J466">
        <v>519937</v>
      </c>
      <c r="K466">
        <v>4</v>
      </c>
      <c r="L466">
        <v>2024</v>
      </c>
    </row>
    <row r="467" spans="1:12" x14ac:dyDescent="0.3">
      <c r="A467" t="s">
        <v>23</v>
      </c>
      <c r="B467">
        <v>24</v>
      </c>
      <c r="C467" t="s">
        <v>577</v>
      </c>
      <c r="D467" t="s">
        <v>118</v>
      </c>
      <c r="E467" t="s">
        <v>160</v>
      </c>
      <c r="F467" t="s">
        <v>161</v>
      </c>
      <c r="G467" t="s">
        <v>365</v>
      </c>
      <c r="H467">
        <v>9000</v>
      </c>
      <c r="I467">
        <v>1046964</v>
      </c>
      <c r="J467">
        <v>85872798</v>
      </c>
      <c r="K467">
        <v>4</v>
      </c>
      <c r="L467">
        <v>2023</v>
      </c>
    </row>
    <row r="468" spans="1:12" x14ac:dyDescent="0.3">
      <c r="A468" t="s">
        <v>12</v>
      </c>
      <c r="B468">
        <v>8</v>
      </c>
      <c r="C468" t="s">
        <v>426</v>
      </c>
      <c r="D468" t="s">
        <v>35</v>
      </c>
      <c r="E468" t="s">
        <v>494</v>
      </c>
      <c r="F468" t="s">
        <v>526</v>
      </c>
      <c r="G468" t="s">
        <v>365</v>
      </c>
      <c r="H468">
        <v>35242</v>
      </c>
      <c r="I468">
        <v>527615</v>
      </c>
      <c r="J468">
        <v>43939011</v>
      </c>
      <c r="K468">
        <v>12</v>
      </c>
      <c r="L468">
        <v>2023</v>
      </c>
    </row>
    <row r="469" spans="1:12" x14ac:dyDescent="0.3">
      <c r="A469" t="s">
        <v>18</v>
      </c>
      <c r="B469">
        <v>6</v>
      </c>
      <c r="C469" t="s">
        <v>166</v>
      </c>
      <c r="D469" t="s">
        <v>90</v>
      </c>
      <c r="E469" t="s">
        <v>436</v>
      </c>
      <c r="F469" t="s">
        <v>437</v>
      </c>
      <c r="G469" t="s">
        <v>365</v>
      </c>
      <c r="H469">
        <v>104000</v>
      </c>
      <c r="I469">
        <v>49724</v>
      </c>
      <c r="J469">
        <v>3725059</v>
      </c>
      <c r="K469">
        <v>10</v>
      </c>
      <c r="L469">
        <v>2021</v>
      </c>
    </row>
    <row r="470" spans="1:12" x14ac:dyDescent="0.3">
      <c r="A470" t="s">
        <v>42</v>
      </c>
      <c r="B470">
        <v>33</v>
      </c>
      <c r="C470" t="s">
        <v>111</v>
      </c>
      <c r="D470" t="s">
        <v>251</v>
      </c>
      <c r="E470" t="s">
        <v>503</v>
      </c>
      <c r="F470" t="s">
        <v>504</v>
      </c>
      <c r="G470" t="s">
        <v>365</v>
      </c>
      <c r="H470">
        <v>6</v>
      </c>
      <c r="I470">
        <v>1302</v>
      </c>
      <c r="J470">
        <v>99254</v>
      </c>
      <c r="K470">
        <v>3</v>
      </c>
      <c r="L470">
        <v>2022</v>
      </c>
    </row>
    <row r="471" spans="1:12" x14ac:dyDescent="0.3">
      <c r="A471" t="s">
        <v>58</v>
      </c>
      <c r="B471">
        <v>27</v>
      </c>
      <c r="C471" t="s">
        <v>125</v>
      </c>
      <c r="D471" t="s">
        <v>237</v>
      </c>
      <c r="E471" t="s">
        <v>375</v>
      </c>
      <c r="F471" t="s">
        <v>376</v>
      </c>
      <c r="G471" t="s">
        <v>365</v>
      </c>
      <c r="H471">
        <v>4</v>
      </c>
      <c r="I471">
        <v>1840</v>
      </c>
      <c r="J471">
        <v>130741</v>
      </c>
      <c r="K471">
        <v>10</v>
      </c>
      <c r="L471">
        <v>2019</v>
      </c>
    </row>
    <row r="472" spans="1:12" x14ac:dyDescent="0.3">
      <c r="A472" t="s">
        <v>23</v>
      </c>
      <c r="B472">
        <v>24</v>
      </c>
      <c r="C472" t="s">
        <v>218</v>
      </c>
      <c r="D472" t="s">
        <v>35</v>
      </c>
      <c r="E472" t="s">
        <v>460</v>
      </c>
      <c r="F472" t="s">
        <v>461</v>
      </c>
      <c r="G472" t="s">
        <v>365</v>
      </c>
      <c r="H472">
        <v>93</v>
      </c>
      <c r="I472">
        <v>92073</v>
      </c>
      <c r="J472">
        <v>7592743</v>
      </c>
      <c r="K472">
        <v>12</v>
      </c>
      <c r="L472">
        <v>2022</v>
      </c>
    </row>
    <row r="473" spans="1:12" x14ac:dyDescent="0.3">
      <c r="A473" t="s">
        <v>58</v>
      </c>
      <c r="B473">
        <v>27</v>
      </c>
      <c r="C473" t="s">
        <v>533</v>
      </c>
      <c r="D473" t="s">
        <v>90</v>
      </c>
      <c r="E473" t="s">
        <v>457</v>
      </c>
      <c r="F473" t="s">
        <v>458</v>
      </c>
      <c r="G473" t="s">
        <v>365</v>
      </c>
      <c r="H473">
        <v>288</v>
      </c>
      <c r="I473">
        <v>214</v>
      </c>
      <c r="J473">
        <v>17860</v>
      </c>
      <c r="K473">
        <v>12</v>
      </c>
      <c r="L473">
        <v>2023</v>
      </c>
    </row>
    <row r="474" spans="1:12" x14ac:dyDescent="0.3">
      <c r="A474" t="s">
        <v>18</v>
      </c>
      <c r="B474">
        <v>6</v>
      </c>
      <c r="C474" t="s">
        <v>19</v>
      </c>
      <c r="D474" t="s">
        <v>108</v>
      </c>
      <c r="E474" t="s">
        <v>123</v>
      </c>
      <c r="F474" t="s">
        <v>553</v>
      </c>
      <c r="G474" t="s">
        <v>365</v>
      </c>
      <c r="H474">
        <v>82850</v>
      </c>
      <c r="I474">
        <v>1142898</v>
      </c>
      <c r="J474">
        <v>90923250</v>
      </c>
      <c r="K474">
        <v>8</v>
      </c>
      <c r="L474">
        <v>2022</v>
      </c>
    </row>
    <row r="475" spans="1:12" x14ac:dyDescent="0.3">
      <c r="A475" t="s">
        <v>58</v>
      </c>
      <c r="B475">
        <v>27</v>
      </c>
      <c r="C475" t="s">
        <v>59</v>
      </c>
      <c r="D475" t="s">
        <v>68</v>
      </c>
      <c r="E475" t="s">
        <v>500</v>
      </c>
      <c r="F475" t="s">
        <v>501</v>
      </c>
      <c r="G475" t="s">
        <v>365</v>
      </c>
      <c r="H475">
        <v>4724174</v>
      </c>
      <c r="I475">
        <v>6503015</v>
      </c>
      <c r="J475">
        <v>541688122</v>
      </c>
      <c r="K475">
        <v>11</v>
      </c>
      <c r="L475">
        <v>2023</v>
      </c>
    </row>
    <row r="476" spans="1:12" x14ac:dyDescent="0.3">
      <c r="A476" t="s">
        <v>42</v>
      </c>
      <c r="B476">
        <v>33</v>
      </c>
      <c r="C476" t="s">
        <v>111</v>
      </c>
      <c r="D476" t="s">
        <v>108</v>
      </c>
      <c r="E476" t="s">
        <v>160</v>
      </c>
      <c r="F476" t="s">
        <v>161</v>
      </c>
      <c r="G476" t="s">
        <v>365</v>
      </c>
      <c r="H476">
        <v>294</v>
      </c>
      <c r="I476">
        <v>21556</v>
      </c>
      <c r="J476">
        <v>1616740</v>
      </c>
      <c r="K476">
        <v>2</v>
      </c>
      <c r="L476">
        <v>2022</v>
      </c>
    </row>
    <row r="477" spans="1:12" x14ac:dyDescent="0.3">
      <c r="A477" t="s">
        <v>42</v>
      </c>
      <c r="B477">
        <v>33</v>
      </c>
      <c r="C477" t="s">
        <v>111</v>
      </c>
      <c r="D477" t="s">
        <v>131</v>
      </c>
      <c r="E477" t="s">
        <v>457</v>
      </c>
      <c r="F477" t="s">
        <v>458</v>
      </c>
      <c r="G477" t="s">
        <v>365</v>
      </c>
      <c r="H477">
        <v>47</v>
      </c>
      <c r="I477">
        <v>9339</v>
      </c>
      <c r="J477">
        <v>674436</v>
      </c>
      <c r="K477">
        <v>9</v>
      </c>
      <c r="L477">
        <v>2018</v>
      </c>
    </row>
    <row r="478" spans="1:12" x14ac:dyDescent="0.3">
      <c r="A478" t="s">
        <v>47</v>
      </c>
      <c r="B478">
        <v>7</v>
      </c>
      <c r="C478" t="s">
        <v>48</v>
      </c>
      <c r="D478" t="s">
        <v>251</v>
      </c>
      <c r="E478" t="s">
        <v>478</v>
      </c>
      <c r="F478" t="s">
        <v>479</v>
      </c>
      <c r="G478" t="s">
        <v>365</v>
      </c>
      <c r="H478">
        <v>403</v>
      </c>
      <c r="I478">
        <v>7750</v>
      </c>
      <c r="J478">
        <v>553779</v>
      </c>
      <c r="K478">
        <v>11</v>
      </c>
      <c r="L478">
        <v>2019</v>
      </c>
    </row>
    <row r="479" spans="1:12" x14ac:dyDescent="0.3">
      <c r="A479" t="s">
        <v>47</v>
      </c>
      <c r="B479">
        <v>7</v>
      </c>
      <c r="C479" t="s">
        <v>51</v>
      </c>
      <c r="D479" t="s">
        <v>294</v>
      </c>
      <c r="E479" t="s">
        <v>490</v>
      </c>
      <c r="F479" t="s">
        <v>491</v>
      </c>
      <c r="G479" t="s">
        <v>365</v>
      </c>
      <c r="H479">
        <v>25000</v>
      </c>
      <c r="I479">
        <v>7999</v>
      </c>
      <c r="J479">
        <v>574777</v>
      </c>
      <c r="K479">
        <v>11</v>
      </c>
      <c r="L479">
        <v>2018</v>
      </c>
    </row>
    <row r="480" spans="1:12" x14ac:dyDescent="0.3">
      <c r="A480" t="s">
        <v>47</v>
      </c>
      <c r="B480">
        <v>7</v>
      </c>
      <c r="C480" t="s">
        <v>48</v>
      </c>
      <c r="D480" t="s">
        <v>237</v>
      </c>
      <c r="E480" t="s">
        <v>375</v>
      </c>
      <c r="F480" t="s">
        <v>376</v>
      </c>
      <c r="G480" t="s">
        <v>365</v>
      </c>
      <c r="H480">
        <v>1</v>
      </c>
      <c r="I480">
        <v>26189</v>
      </c>
      <c r="J480">
        <v>1852399</v>
      </c>
      <c r="K480">
        <v>1</v>
      </c>
      <c r="L480">
        <v>2019</v>
      </c>
    </row>
    <row r="481" spans="1:12" x14ac:dyDescent="0.3">
      <c r="A481" t="s">
        <v>58</v>
      </c>
      <c r="B481">
        <v>27</v>
      </c>
      <c r="C481" t="s">
        <v>310</v>
      </c>
      <c r="D481" t="s">
        <v>265</v>
      </c>
      <c r="E481" t="s">
        <v>363</v>
      </c>
      <c r="F481" t="s">
        <v>603</v>
      </c>
      <c r="G481" t="s">
        <v>365</v>
      </c>
      <c r="H481">
        <v>1</v>
      </c>
      <c r="I481">
        <v>1278</v>
      </c>
      <c r="J481">
        <v>90422</v>
      </c>
      <c r="K481">
        <v>1</v>
      </c>
      <c r="L481">
        <v>2019</v>
      </c>
    </row>
    <row r="482" spans="1:12" x14ac:dyDescent="0.3">
      <c r="A482" t="s">
        <v>132</v>
      </c>
      <c r="B482">
        <v>19</v>
      </c>
      <c r="C482" t="s">
        <v>133</v>
      </c>
      <c r="D482" t="s">
        <v>90</v>
      </c>
      <c r="E482" t="s">
        <v>474</v>
      </c>
      <c r="F482" t="s">
        <v>475</v>
      </c>
      <c r="G482" t="s">
        <v>365</v>
      </c>
      <c r="H482">
        <v>1120</v>
      </c>
      <c r="I482">
        <v>15053</v>
      </c>
      <c r="J482">
        <v>957906</v>
      </c>
      <c r="K482">
        <v>1</v>
      </c>
      <c r="L482">
        <v>2018</v>
      </c>
    </row>
    <row r="483" spans="1:12" x14ac:dyDescent="0.3">
      <c r="A483" t="s">
        <v>275</v>
      </c>
      <c r="B483">
        <v>28</v>
      </c>
      <c r="C483" t="s">
        <v>591</v>
      </c>
      <c r="D483" t="s">
        <v>237</v>
      </c>
      <c r="E483" t="s">
        <v>474</v>
      </c>
      <c r="F483" t="s">
        <v>475</v>
      </c>
      <c r="G483" t="s">
        <v>365</v>
      </c>
      <c r="H483">
        <v>21930</v>
      </c>
      <c r="I483">
        <v>98281</v>
      </c>
      <c r="J483">
        <v>6951530</v>
      </c>
      <c r="K483">
        <v>12</v>
      </c>
      <c r="L483">
        <v>2018</v>
      </c>
    </row>
    <row r="484" spans="1:12" x14ac:dyDescent="0.3">
      <c r="A484" t="s">
        <v>58</v>
      </c>
      <c r="B484">
        <v>27</v>
      </c>
      <c r="C484" t="s">
        <v>59</v>
      </c>
      <c r="D484" t="s">
        <v>105</v>
      </c>
      <c r="E484" t="s">
        <v>436</v>
      </c>
      <c r="F484" t="s">
        <v>437</v>
      </c>
      <c r="G484" t="s">
        <v>365</v>
      </c>
      <c r="H484">
        <v>934739</v>
      </c>
      <c r="I484">
        <v>3271508</v>
      </c>
      <c r="J484">
        <v>269386774</v>
      </c>
      <c r="K484">
        <v>5</v>
      </c>
      <c r="L484">
        <v>2023</v>
      </c>
    </row>
    <row r="485" spans="1:12" x14ac:dyDescent="0.3">
      <c r="A485" t="s">
        <v>23</v>
      </c>
      <c r="B485">
        <v>24</v>
      </c>
      <c r="C485" t="s">
        <v>24</v>
      </c>
      <c r="D485" t="s">
        <v>115</v>
      </c>
      <c r="E485" t="s">
        <v>604</v>
      </c>
      <c r="F485" t="s">
        <v>605</v>
      </c>
      <c r="G485" t="s">
        <v>365</v>
      </c>
      <c r="H485">
        <v>6650</v>
      </c>
      <c r="I485">
        <v>82454</v>
      </c>
      <c r="J485">
        <v>6615424</v>
      </c>
      <c r="K485">
        <v>9</v>
      </c>
      <c r="L485">
        <v>2022</v>
      </c>
    </row>
    <row r="486" spans="1:12" x14ac:dyDescent="0.3">
      <c r="A486" t="s">
        <v>42</v>
      </c>
      <c r="B486">
        <v>33</v>
      </c>
      <c r="C486" t="s">
        <v>352</v>
      </c>
      <c r="D486" t="s">
        <v>35</v>
      </c>
      <c r="E486" t="s">
        <v>451</v>
      </c>
      <c r="F486" t="s">
        <v>524</v>
      </c>
      <c r="G486" t="s">
        <v>365</v>
      </c>
      <c r="H486">
        <v>10</v>
      </c>
      <c r="I486">
        <v>4038</v>
      </c>
      <c r="J486">
        <v>335047</v>
      </c>
      <c r="K486">
        <v>2</v>
      </c>
      <c r="L486">
        <v>2024</v>
      </c>
    </row>
    <row r="487" spans="1:12" x14ac:dyDescent="0.3">
      <c r="A487" t="s">
        <v>275</v>
      </c>
      <c r="B487">
        <v>28</v>
      </c>
      <c r="C487" t="s">
        <v>608</v>
      </c>
      <c r="D487" t="s">
        <v>193</v>
      </c>
      <c r="E487" t="s">
        <v>123</v>
      </c>
      <c r="F487" t="s">
        <v>553</v>
      </c>
      <c r="G487" t="s">
        <v>365</v>
      </c>
      <c r="H487">
        <v>40934</v>
      </c>
      <c r="I487">
        <v>1092176</v>
      </c>
      <c r="J487">
        <v>83272424</v>
      </c>
      <c r="K487">
        <v>3</v>
      </c>
      <c r="L487">
        <v>2022</v>
      </c>
    </row>
    <row r="488" spans="1:12" x14ac:dyDescent="0.3">
      <c r="A488" t="s">
        <v>23</v>
      </c>
      <c r="B488">
        <v>24</v>
      </c>
      <c r="C488" t="s">
        <v>218</v>
      </c>
      <c r="D488" t="s">
        <v>190</v>
      </c>
      <c r="E488" t="s">
        <v>451</v>
      </c>
      <c r="F488" t="s">
        <v>524</v>
      </c>
      <c r="G488" t="s">
        <v>365</v>
      </c>
      <c r="H488">
        <v>108</v>
      </c>
      <c r="I488">
        <v>3466</v>
      </c>
      <c r="J488">
        <v>285413</v>
      </c>
      <c r="K488">
        <v>10</v>
      </c>
      <c r="L488">
        <v>2022</v>
      </c>
    </row>
    <row r="489" spans="1:12" x14ac:dyDescent="0.3">
      <c r="A489" t="s">
        <v>28</v>
      </c>
      <c r="B489">
        <v>29</v>
      </c>
      <c r="C489" t="s">
        <v>29</v>
      </c>
      <c r="D489" t="s">
        <v>131</v>
      </c>
      <c r="E489" t="s">
        <v>467</v>
      </c>
      <c r="F489" t="s">
        <v>468</v>
      </c>
      <c r="G489" t="s">
        <v>365</v>
      </c>
      <c r="H489">
        <v>31</v>
      </c>
      <c r="I489">
        <v>6153</v>
      </c>
      <c r="J489">
        <v>439885</v>
      </c>
      <c r="K489">
        <v>2</v>
      </c>
      <c r="L489">
        <v>2020</v>
      </c>
    </row>
    <row r="490" spans="1:12" x14ac:dyDescent="0.3">
      <c r="A490" t="s">
        <v>58</v>
      </c>
      <c r="B490">
        <v>27</v>
      </c>
      <c r="C490" t="s">
        <v>59</v>
      </c>
      <c r="D490" t="s">
        <v>265</v>
      </c>
      <c r="E490" t="s">
        <v>123</v>
      </c>
      <c r="F490" t="s">
        <v>553</v>
      </c>
      <c r="G490" t="s">
        <v>365</v>
      </c>
      <c r="H490">
        <v>11</v>
      </c>
      <c r="I490">
        <v>1525</v>
      </c>
      <c r="J490">
        <v>126547</v>
      </c>
      <c r="K490">
        <v>2</v>
      </c>
      <c r="L490">
        <v>2024</v>
      </c>
    </row>
    <row r="491" spans="1:12" x14ac:dyDescent="0.3">
      <c r="A491" t="s">
        <v>42</v>
      </c>
      <c r="B491">
        <v>33</v>
      </c>
      <c r="C491" t="s">
        <v>111</v>
      </c>
      <c r="D491" t="s">
        <v>14</v>
      </c>
      <c r="E491" t="s">
        <v>123</v>
      </c>
      <c r="F491" t="s">
        <v>553</v>
      </c>
      <c r="G491" t="s">
        <v>365</v>
      </c>
      <c r="H491">
        <v>5059</v>
      </c>
      <c r="I491">
        <v>260294</v>
      </c>
      <c r="J491">
        <v>19148140</v>
      </c>
      <c r="K491">
        <v>9</v>
      </c>
      <c r="L491">
        <v>2021</v>
      </c>
    </row>
    <row r="492" spans="1:12" x14ac:dyDescent="0.3">
      <c r="A492" t="s">
        <v>47</v>
      </c>
      <c r="B492">
        <v>7</v>
      </c>
      <c r="C492" t="s">
        <v>51</v>
      </c>
      <c r="D492" t="s">
        <v>90</v>
      </c>
      <c r="E492" t="s">
        <v>492</v>
      </c>
      <c r="F492" t="s">
        <v>493</v>
      </c>
      <c r="G492" t="s">
        <v>365</v>
      </c>
      <c r="H492">
        <v>2829</v>
      </c>
      <c r="I492">
        <v>37434</v>
      </c>
      <c r="J492">
        <v>2659305</v>
      </c>
      <c r="K492">
        <v>10</v>
      </c>
      <c r="L492">
        <v>2019</v>
      </c>
    </row>
    <row r="493" spans="1:12" x14ac:dyDescent="0.3">
      <c r="A493" t="s">
        <v>42</v>
      </c>
      <c r="B493">
        <v>33</v>
      </c>
      <c r="C493" t="s">
        <v>111</v>
      </c>
      <c r="D493" t="s">
        <v>118</v>
      </c>
      <c r="E493" t="s">
        <v>604</v>
      </c>
      <c r="F493" t="s">
        <v>605</v>
      </c>
      <c r="G493" t="s">
        <v>365</v>
      </c>
      <c r="H493">
        <v>4885</v>
      </c>
      <c r="I493">
        <v>175438</v>
      </c>
      <c r="J493">
        <v>14554950</v>
      </c>
      <c r="K493">
        <v>2</v>
      </c>
      <c r="L493">
        <v>2024</v>
      </c>
    </row>
    <row r="494" spans="1:12" x14ac:dyDescent="0.3">
      <c r="A494" t="s">
        <v>58</v>
      </c>
      <c r="B494">
        <v>27</v>
      </c>
      <c r="C494" t="s">
        <v>59</v>
      </c>
      <c r="D494" t="s">
        <v>251</v>
      </c>
      <c r="E494" t="s">
        <v>609</v>
      </c>
      <c r="F494" t="s">
        <v>610</v>
      </c>
      <c r="G494" t="s">
        <v>365</v>
      </c>
      <c r="H494">
        <v>1440</v>
      </c>
      <c r="I494">
        <v>5468</v>
      </c>
      <c r="J494">
        <v>455145</v>
      </c>
      <c r="K494">
        <v>10</v>
      </c>
      <c r="L494">
        <v>2023</v>
      </c>
    </row>
    <row r="495" spans="1:12" x14ac:dyDescent="0.3">
      <c r="A495" t="s">
        <v>47</v>
      </c>
      <c r="B495">
        <v>7</v>
      </c>
      <c r="C495" t="s">
        <v>51</v>
      </c>
      <c r="D495" t="s">
        <v>108</v>
      </c>
      <c r="E495" t="s">
        <v>451</v>
      </c>
      <c r="F495" t="s">
        <v>524</v>
      </c>
      <c r="G495" t="s">
        <v>365</v>
      </c>
      <c r="H495">
        <v>25609</v>
      </c>
      <c r="I495">
        <v>214371</v>
      </c>
      <c r="J495">
        <v>16078466</v>
      </c>
      <c r="K495">
        <v>2</v>
      </c>
      <c r="L495">
        <v>2022</v>
      </c>
    </row>
    <row r="496" spans="1:12" x14ac:dyDescent="0.3">
      <c r="A496" t="s">
        <v>47</v>
      </c>
      <c r="B496">
        <v>7</v>
      </c>
      <c r="C496" t="s">
        <v>48</v>
      </c>
      <c r="D496" t="s">
        <v>263</v>
      </c>
      <c r="E496" t="s">
        <v>474</v>
      </c>
      <c r="F496" t="s">
        <v>475</v>
      </c>
      <c r="G496" t="s">
        <v>365</v>
      </c>
      <c r="H496">
        <v>1680</v>
      </c>
      <c r="I496">
        <v>19289</v>
      </c>
      <c r="J496">
        <v>1345843</v>
      </c>
      <c r="K496">
        <v>5</v>
      </c>
      <c r="L496">
        <v>2019</v>
      </c>
    </row>
    <row r="497" spans="1:12" x14ac:dyDescent="0.3">
      <c r="A497" t="s">
        <v>33</v>
      </c>
      <c r="B497">
        <v>32</v>
      </c>
      <c r="C497" t="s">
        <v>34</v>
      </c>
      <c r="D497" t="s">
        <v>153</v>
      </c>
      <c r="E497" t="s">
        <v>363</v>
      </c>
      <c r="F497" t="s">
        <v>603</v>
      </c>
      <c r="G497" t="s">
        <v>365</v>
      </c>
      <c r="H497">
        <v>70</v>
      </c>
      <c r="I497">
        <v>5165</v>
      </c>
      <c r="J497">
        <v>428662</v>
      </c>
      <c r="K497">
        <v>3</v>
      </c>
      <c r="L497">
        <v>2024</v>
      </c>
    </row>
    <row r="498" spans="1:12" x14ac:dyDescent="0.3">
      <c r="A498" t="s">
        <v>18</v>
      </c>
      <c r="B498">
        <v>6</v>
      </c>
      <c r="C498" t="s">
        <v>19</v>
      </c>
      <c r="D498" t="s">
        <v>251</v>
      </c>
      <c r="E498" t="s">
        <v>462</v>
      </c>
      <c r="F498" t="s">
        <v>463</v>
      </c>
      <c r="G498" t="s">
        <v>365</v>
      </c>
      <c r="H498">
        <v>2700</v>
      </c>
      <c r="I498">
        <v>20770</v>
      </c>
      <c r="J498">
        <v>1441990</v>
      </c>
      <c r="K498">
        <v>4</v>
      </c>
      <c r="L498">
        <v>2019</v>
      </c>
    </row>
    <row r="499" spans="1:12" x14ac:dyDescent="0.3">
      <c r="A499" t="s">
        <v>58</v>
      </c>
      <c r="B499">
        <v>27</v>
      </c>
      <c r="C499" t="s">
        <v>125</v>
      </c>
      <c r="D499" t="s">
        <v>551</v>
      </c>
      <c r="E499" t="s">
        <v>474</v>
      </c>
      <c r="F499" t="s">
        <v>475</v>
      </c>
      <c r="G499" t="s">
        <v>365</v>
      </c>
      <c r="H499">
        <v>300</v>
      </c>
      <c r="I499">
        <v>35580</v>
      </c>
      <c r="J499">
        <v>2665466</v>
      </c>
      <c r="K499">
        <v>10</v>
      </c>
      <c r="L499">
        <v>2021</v>
      </c>
    </row>
    <row r="500" spans="1:12" x14ac:dyDescent="0.3">
      <c r="A500" t="s">
        <v>23</v>
      </c>
      <c r="B500">
        <v>24</v>
      </c>
      <c r="C500" t="s">
        <v>486</v>
      </c>
      <c r="D500" t="s">
        <v>90</v>
      </c>
      <c r="E500" t="s">
        <v>571</v>
      </c>
      <c r="F500" t="s">
        <v>572</v>
      </c>
      <c r="G500" t="s">
        <v>365</v>
      </c>
      <c r="H500">
        <v>866400</v>
      </c>
      <c r="I500">
        <v>107593</v>
      </c>
      <c r="J500">
        <v>8973924</v>
      </c>
      <c r="K500">
        <v>4</v>
      </c>
      <c r="L500">
        <v>2024</v>
      </c>
    </row>
    <row r="501" spans="1:12" x14ac:dyDescent="0.3">
      <c r="A501" t="s">
        <v>58</v>
      </c>
      <c r="B501">
        <v>27</v>
      </c>
      <c r="C501" t="s">
        <v>387</v>
      </c>
      <c r="D501" t="s">
        <v>194</v>
      </c>
      <c r="E501" t="s">
        <v>490</v>
      </c>
      <c r="F501" t="s">
        <v>491</v>
      </c>
      <c r="G501" t="s">
        <v>365</v>
      </c>
      <c r="H501">
        <v>613000</v>
      </c>
      <c r="I501">
        <v>30747</v>
      </c>
      <c r="J501">
        <v>2174829</v>
      </c>
      <c r="K501">
        <v>1</v>
      </c>
      <c r="L501">
        <v>2019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936CF-4CEC-4054-ADE5-FE8474088498}">
  <dimension ref="A1:N501"/>
  <sheetViews>
    <sheetView workbookViewId="0">
      <selection activeCell="O3" sqref="O3"/>
    </sheetView>
  </sheetViews>
  <sheetFormatPr defaultRowHeight="14.4" x14ac:dyDescent="0.3"/>
  <cols>
    <col min="1" max="1" width="9" bestFit="1" customWidth="1"/>
    <col min="2" max="2" width="6.88671875" bestFit="1" customWidth="1"/>
    <col min="3" max="3" width="14.5546875" bestFit="1" customWidth="1"/>
    <col min="4" max="4" width="12.33203125" bestFit="1" customWidth="1"/>
    <col min="5" max="5" width="28" bestFit="1" customWidth="1"/>
    <col min="6" max="6" width="16" bestFit="1" customWidth="1"/>
    <col min="7" max="7" width="25.88671875" bestFit="1" customWidth="1"/>
    <col min="8" max="8" width="28.21875" bestFit="1" customWidth="1"/>
    <col min="9" max="9" width="27.109375" bestFit="1" customWidth="1"/>
    <col min="10" max="10" width="28.33203125" bestFit="1" customWidth="1"/>
    <col min="11" max="11" width="34.44140625" bestFit="1" customWidth="1"/>
    <col min="12" max="12" width="33.88671875" bestFit="1" customWidth="1"/>
    <col min="13" max="13" width="17.6640625" bestFit="1" customWidth="1"/>
    <col min="14" max="14" width="15.77734375" customWidth="1"/>
  </cols>
  <sheetData>
    <row r="1" spans="1:14" x14ac:dyDescent="0.3">
      <c r="A1" t="s">
        <v>10</v>
      </c>
      <c r="B1" t="s">
        <v>11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541</v>
      </c>
      <c r="N1" t="s">
        <v>616</v>
      </c>
    </row>
    <row r="2" spans="1:14" x14ac:dyDescent="0.3">
      <c r="A2">
        <v>12</v>
      </c>
      <c r="B2">
        <v>2022</v>
      </c>
      <c r="C2" t="s">
        <v>12</v>
      </c>
      <c r="D2">
        <v>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0</v>
      </c>
      <c r="K2">
        <v>10024</v>
      </c>
      <c r="L2">
        <v>826619</v>
      </c>
      <c r="M2" t="str">
        <f t="shared" ref="M2:M65" si="0">IF(OR(ISNUMBER(SEARCH("ICD",E2)),ISNUMBER(SEARCH("Dry Port",E2))),"ICD / Dry Port", IF(OR(ISNUMBER(SEARCH("Sea",E2)),ISNUMBER(SEARCH("Port",E2))),"Sea Port", IF(OR(ISNUMBER(SEARCH("Air",E2)),ISNUMBER(SEARCH("Airport",E2))),"Air Port", IF(ISNUMBER(SEARCH("CFS",E2)),"CFS", IF(OR(ISNUMBER(SEARCH("SEZ",E2)),ISNUMBER(SEARCH("EPZ",E2)),ISNUMBER(SEARCH("FTWZ",E2)),ISNUMBER(SEARCH("City",E2)),ISNUMBER(SEARCH("Park",E2))),"SEZ / Industrial Zone", IF(OR(ISNUMBER(SEARCH("Land",E2)),ISNUMBER(SEARCH("LCS",E2)),ISNUMBER(SEARCH("Rly",E2))),"Land Port", "Other"))))))</f>
        <v>ICD / Dry Port</v>
      </c>
      <c r="N2" t="str">
        <f>TEXT(DATE(EXPORT[[#This Row],[Year]], A2, 1), "mmmm")</f>
        <v>December</v>
      </c>
    </row>
    <row r="3" spans="1:14" x14ac:dyDescent="0.3">
      <c r="A3">
        <v>10</v>
      </c>
      <c r="B3">
        <v>2019</v>
      </c>
      <c r="C3" t="s">
        <v>18</v>
      </c>
      <c r="D3">
        <v>6</v>
      </c>
      <c r="E3" t="s">
        <v>19</v>
      </c>
      <c r="F3" t="s">
        <v>20</v>
      </c>
      <c r="G3" t="s">
        <v>21</v>
      </c>
      <c r="H3" t="s">
        <v>22</v>
      </c>
      <c r="I3" t="s">
        <v>17</v>
      </c>
      <c r="J3">
        <v>0</v>
      </c>
      <c r="K3">
        <v>210530</v>
      </c>
      <c r="L3">
        <v>14955945</v>
      </c>
      <c r="M3" t="str">
        <f t="shared" si="0"/>
        <v>ICD / Dry Port</v>
      </c>
      <c r="N3" t="str">
        <f>TEXT(DATE(EXPORT[[#This Row],[Year]], A3, 1), "mmmm")</f>
        <v>October</v>
      </c>
    </row>
    <row r="4" spans="1:14" x14ac:dyDescent="0.3">
      <c r="A4">
        <v>7</v>
      </c>
      <c r="B4">
        <v>2023</v>
      </c>
      <c r="C4" t="s">
        <v>23</v>
      </c>
      <c r="D4">
        <v>24</v>
      </c>
      <c r="E4" t="s">
        <v>24</v>
      </c>
      <c r="F4" t="s">
        <v>25</v>
      </c>
      <c r="G4" t="s">
        <v>26</v>
      </c>
      <c r="H4" t="s">
        <v>27</v>
      </c>
      <c r="I4" t="s">
        <v>17</v>
      </c>
      <c r="J4">
        <v>0</v>
      </c>
      <c r="K4">
        <v>200305</v>
      </c>
      <c r="L4">
        <v>16455397</v>
      </c>
      <c r="M4" t="str">
        <f t="shared" si="0"/>
        <v>Other</v>
      </c>
      <c r="N4" t="str">
        <f>TEXT(DATE(EXPORT[[#This Row],[Year]], A4, 1), "mmmm")</f>
        <v>July</v>
      </c>
    </row>
    <row r="5" spans="1:14" x14ac:dyDescent="0.3">
      <c r="A5">
        <v>3</v>
      </c>
      <c r="B5">
        <v>2019</v>
      </c>
      <c r="C5" t="s">
        <v>28</v>
      </c>
      <c r="D5">
        <v>29</v>
      </c>
      <c r="E5" t="s">
        <v>29</v>
      </c>
      <c r="F5" t="s">
        <v>30</v>
      </c>
      <c r="G5" t="s">
        <v>31</v>
      </c>
      <c r="H5" t="s">
        <v>32</v>
      </c>
      <c r="I5" t="s">
        <v>17</v>
      </c>
      <c r="J5">
        <v>0</v>
      </c>
      <c r="K5">
        <v>507465</v>
      </c>
      <c r="L5">
        <v>35257975</v>
      </c>
      <c r="M5" t="str">
        <f t="shared" si="0"/>
        <v>Sea Port</v>
      </c>
      <c r="N5" t="str">
        <f>TEXT(DATE(EXPORT[[#This Row],[Year]], A5, 1), "mmmm")</f>
        <v>March</v>
      </c>
    </row>
    <row r="6" spans="1:14" x14ac:dyDescent="0.3">
      <c r="A6">
        <v>10</v>
      </c>
      <c r="B6">
        <v>2022</v>
      </c>
      <c r="C6" t="s">
        <v>33</v>
      </c>
      <c r="D6">
        <v>32</v>
      </c>
      <c r="E6" t="s">
        <v>34</v>
      </c>
      <c r="F6" t="s">
        <v>35</v>
      </c>
      <c r="G6" t="s">
        <v>36</v>
      </c>
      <c r="H6" t="s">
        <v>37</v>
      </c>
      <c r="I6" t="s">
        <v>17</v>
      </c>
      <c r="J6">
        <v>0</v>
      </c>
      <c r="K6">
        <v>125104</v>
      </c>
      <c r="L6">
        <v>10301114</v>
      </c>
      <c r="M6" t="str">
        <f t="shared" si="0"/>
        <v>Sea Port</v>
      </c>
      <c r="N6" t="str">
        <f>TEXT(DATE(EXPORT[[#This Row],[Year]], A6, 1), "mmmm")</f>
        <v>October</v>
      </c>
    </row>
    <row r="7" spans="1:14" x14ac:dyDescent="0.3">
      <c r="A7">
        <v>12</v>
      </c>
      <c r="B7">
        <v>2021</v>
      </c>
      <c r="C7" t="s">
        <v>23</v>
      </c>
      <c r="D7">
        <v>24</v>
      </c>
      <c r="E7" t="s">
        <v>38</v>
      </c>
      <c r="F7" t="s">
        <v>611</v>
      </c>
      <c r="G7" t="s">
        <v>40</v>
      </c>
      <c r="H7" t="s">
        <v>41</v>
      </c>
      <c r="I7" t="s">
        <v>17</v>
      </c>
      <c r="J7">
        <v>0</v>
      </c>
      <c r="K7">
        <v>9643</v>
      </c>
      <c r="L7">
        <v>726783</v>
      </c>
      <c r="M7" t="str">
        <f t="shared" si="0"/>
        <v>ICD / Dry Port</v>
      </c>
      <c r="N7" t="str">
        <f>TEXT(DATE(EXPORT[[#This Row],[Year]], A7, 1), "mmmm")</f>
        <v>December</v>
      </c>
    </row>
    <row r="8" spans="1:14" x14ac:dyDescent="0.3">
      <c r="A8">
        <v>6</v>
      </c>
      <c r="B8">
        <v>2022</v>
      </c>
      <c r="C8" t="s">
        <v>42</v>
      </c>
      <c r="D8">
        <v>33</v>
      </c>
      <c r="E8" t="s">
        <v>43</v>
      </c>
      <c r="F8" t="s">
        <v>44</v>
      </c>
      <c r="G8" t="s">
        <v>45</v>
      </c>
      <c r="H8" t="s">
        <v>46</v>
      </c>
      <c r="I8" t="s">
        <v>17</v>
      </c>
      <c r="J8">
        <v>0</v>
      </c>
      <c r="K8">
        <v>325521</v>
      </c>
      <c r="L8">
        <v>25414911</v>
      </c>
      <c r="M8" t="str">
        <f t="shared" si="0"/>
        <v>Sea Port</v>
      </c>
      <c r="N8" t="str">
        <f>TEXT(DATE(EXPORT[[#This Row],[Year]], A8, 1), "mmmm")</f>
        <v>June</v>
      </c>
    </row>
    <row r="9" spans="1:14" x14ac:dyDescent="0.3">
      <c r="A9">
        <v>9</v>
      </c>
      <c r="B9">
        <v>2021</v>
      </c>
      <c r="C9" t="s">
        <v>47</v>
      </c>
      <c r="D9">
        <v>7</v>
      </c>
      <c r="E9" t="s">
        <v>48</v>
      </c>
      <c r="F9" t="s">
        <v>25</v>
      </c>
      <c r="G9" t="s">
        <v>49</v>
      </c>
      <c r="H9" t="s">
        <v>50</v>
      </c>
      <c r="I9" t="s">
        <v>17</v>
      </c>
      <c r="J9">
        <v>0</v>
      </c>
      <c r="K9">
        <v>36349</v>
      </c>
      <c r="L9">
        <v>2673924</v>
      </c>
      <c r="M9" t="str">
        <f t="shared" si="0"/>
        <v>Air Port</v>
      </c>
      <c r="N9" t="str">
        <f>TEXT(DATE(EXPORT[[#This Row],[Year]], A9, 1), "mmmm")</f>
        <v>September</v>
      </c>
    </row>
    <row r="10" spans="1:14" x14ac:dyDescent="0.3">
      <c r="A10">
        <v>5</v>
      </c>
      <c r="B10">
        <v>2018</v>
      </c>
      <c r="C10" t="s">
        <v>47</v>
      </c>
      <c r="D10">
        <v>7</v>
      </c>
      <c r="E10" t="s">
        <v>51</v>
      </c>
      <c r="F10" t="s">
        <v>35</v>
      </c>
      <c r="G10" t="s">
        <v>52</v>
      </c>
      <c r="H10" t="s">
        <v>53</v>
      </c>
      <c r="I10" t="s">
        <v>17</v>
      </c>
      <c r="J10">
        <v>0</v>
      </c>
      <c r="K10">
        <v>47481</v>
      </c>
      <c r="L10">
        <v>3206864</v>
      </c>
      <c r="M10" t="str">
        <f t="shared" si="0"/>
        <v>ICD / Dry Port</v>
      </c>
      <c r="N10" t="str">
        <f>TEXT(DATE(EXPORT[[#This Row],[Year]], A10, 1), "mmmm")</f>
        <v>May</v>
      </c>
    </row>
    <row r="11" spans="1:14" x14ac:dyDescent="0.3">
      <c r="A11">
        <v>3</v>
      </c>
      <c r="B11">
        <v>2021</v>
      </c>
      <c r="C11" t="s">
        <v>42</v>
      </c>
      <c r="D11">
        <v>33</v>
      </c>
      <c r="E11" t="s">
        <v>54</v>
      </c>
      <c r="F11" t="s">
        <v>20</v>
      </c>
      <c r="G11" t="s">
        <v>15</v>
      </c>
      <c r="H11" t="s">
        <v>16</v>
      </c>
      <c r="I11" t="s">
        <v>17</v>
      </c>
      <c r="J11">
        <v>0</v>
      </c>
      <c r="K11">
        <v>129050</v>
      </c>
      <c r="L11">
        <v>9393920</v>
      </c>
      <c r="M11" t="str">
        <f t="shared" si="0"/>
        <v>Other</v>
      </c>
      <c r="N11" t="str">
        <f>TEXT(DATE(EXPORT[[#This Row],[Year]], A11, 1), "mmmm")</f>
        <v>March</v>
      </c>
    </row>
    <row r="12" spans="1:14" x14ac:dyDescent="0.3">
      <c r="A12">
        <v>9</v>
      </c>
      <c r="B12">
        <v>2018</v>
      </c>
      <c r="C12" t="s">
        <v>42</v>
      </c>
      <c r="D12">
        <v>33</v>
      </c>
      <c r="E12" t="s">
        <v>55</v>
      </c>
      <c r="F12" t="s">
        <v>35</v>
      </c>
      <c r="G12" t="s">
        <v>56</v>
      </c>
      <c r="H12" t="s">
        <v>57</v>
      </c>
      <c r="I12" t="s">
        <v>17</v>
      </c>
      <c r="J12">
        <v>0</v>
      </c>
      <c r="K12">
        <v>217449</v>
      </c>
      <c r="L12">
        <v>15703147</v>
      </c>
      <c r="M12" t="str">
        <f t="shared" si="0"/>
        <v>SEZ / Industrial Zone</v>
      </c>
      <c r="N12" t="str">
        <f>TEXT(DATE(EXPORT[[#This Row],[Year]], A12, 1), "mmmm")</f>
        <v>September</v>
      </c>
    </row>
    <row r="13" spans="1:14" x14ac:dyDescent="0.3">
      <c r="A13">
        <v>10</v>
      </c>
      <c r="B13">
        <v>2022</v>
      </c>
      <c r="C13" t="s">
        <v>58</v>
      </c>
      <c r="D13">
        <v>27</v>
      </c>
      <c r="E13" t="s">
        <v>59</v>
      </c>
      <c r="F13" t="s">
        <v>60</v>
      </c>
      <c r="G13" t="s">
        <v>612</v>
      </c>
      <c r="H13" t="s">
        <v>62</v>
      </c>
      <c r="I13" t="s">
        <v>17</v>
      </c>
      <c r="J13">
        <v>0</v>
      </c>
      <c r="K13">
        <v>44026</v>
      </c>
      <c r="L13">
        <v>3625133</v>
      </c>
      <c r="M13" t="str">
        <f t="shared" si="0"/>
        <v>Sea Port</v>
      </c>
      <c r="N13" t="str">
        <f>TEXT(DATE(EXPORT[[#This Row],[Year]], A13, 1), "mmmm")</f>
        <v>October</v>
      </c>
    </row>
    <row r="14" spans="1:14" x14ac:dyDescent="0.3">
      <c r="A14">
        <v>8</v>
      </c>
      <c r="B14">
        <v>2020</v>
      </c>
      <c r="C14" t="s">
        <v>63</v>
      </c>
      <c r="D14">
        <v>23</v>
      </c>
      <c r="E14" t="s">
        <v>64</v>
      </c>
      <c r="F14" t="s">
        <v>35</v>
      </c>
      <c r="G14" t="s">
        <v>65</v>
      </c>
      <c r="H14" t="s">
        <v>66</v>
      </c>
      <c r="I14" t="s">
        <v>17</v>
      </c>
      <c r="J14">
        <v>0</v>
      </c>
      <c r="K14">
        <v>4588</v>
      </c>
      <c r="L14">
        <v>342612</v>
      </c>
      <c r="M14" t="str">
        <f t="shared" si="0"/>
        <v>SEZ / Industrial Zone</v>
      </c>
      <c r="N14" t="str">
        <f>TEXT(DATE(EXPORT[[#This Row],[Year]], A14, 1), "mmmm")</f>
        <v>August</v>
      </c>
    </row>
    <row r="15" spans="1:14" x14ac:dyDescent="0.3">
      <c r="A15">
        <v>2</v>
      </c>
      <c r="B15">
        <v>2019</v>
      </c>
      <c r="C15" t="s">
        <v>42</v>
      </c>
      <c r="D15">
        <v>33</v>
      </c>
      <c r="E15" t="s">
        <v>67</v>
      </c>
      <c r="F15" t="s">
        <v>68</v>
      </c>
      <c r="G15" t="s">
        <v>36</v>
      </c>
      <c r="H15" t="s">
        <v>37</v>
      </c>
      <c r="I15" t="s">
        <v>17</v>
      </c>
      <c r="J15">
        <v>0</v>
      </c>
      <c r="K15">
        <v>18189</v>
      </c>
      <c r="L15">
        <v>1295433</v>
      </c>
      <c r="M15" t="str">
        <f t="shared" si="0"/>
        <v>ICD / Dry Port</v>
      </c>
      <c r="N15" t="str">
        <f>TEXT(DATE(EXPORT[[#This Row],[Year]], A15, 1), "mmmm")</f>
        <v>February</v>
      </c>
    </row>
    <row r="16" spans="1:14" x14ac:dyDescent="0.3">
      <c r="A16">
        <v>2</v>
      </c>
      <c r="B16">
        <v>2021</v>
      </c>
      <c r="C16" t="s">
        <v>23</v>
      </c>
      <c r="D16">
        <v>24</v>
      </c>
      <c r="E16" t="s">
        <v>69</v>
      </c>
      <c r="F16" t="s">
        <v>70</v>
      </c>
      <c r="G16" t="s">
        <v>71</v>
      </c>
      <c r="H16" t="s">
        <v>72</v>
      </c>
      <c r="I16" t="s">
        <v>17</v>
      </c>
      <c r="J16">
        <v>0</v>
      </c>
      <c r="K16">
        <v>29589</v>
      </c>
      <c r="L16">
        <v>2152800</v>
      </c>
      <c r="M16" t="str">
        <f t="shared" si="0"/>
        <v>SEZ / Industrial Zone</v>
      </c>
      <c r="N16" t="str">
        <f>TEXT(DATE(EXPORT[[#This Row],[Year]], A16, 1), "mmmm")</f>
        <v>February</v>
      </c>
    </row>
    <row r="17" spans="1:14" x14ac:dyDescent="0.3">
      <c r="A17">
        <v>10</v>
      </c>
      <c r="B17">
        <v>2019</v>
      </c>
      <c r="C17" t="s">
        <v>73</v>
      </c>
      <c r="D17">
        <v>3</v>
      </c>
      <c r="E17" t="s">
        <v>74</v>
      </c>
      <c r="F17" t="s">
        <v>75</v>
      </c>
      <c r="G17" t="s">
        <v>15</v>
      </c>
      <c r="H17" t="s">
        <v>16</v>
      </c>
      <c r="I17" t="s">
        <v>17</v>
      </c>
      <c r="J17">
        <v>0</v>
      </c>
      <c r="K17">
        <v>16378</v>
      </c>
      <c r="L17">
        <v>1163476</v>
      </c>
      <c r="M17" t="str">
        <f t="shared" si="0"/>
        <v>ICD / Dry Port</v>
      </c>
      <c r="N17" t="str">
        <f>TEXT(DATE(EXPORT[[#This Row],[Year]], A17, 1), "mmmm")</f>
        <v>October</v>
      </c>
    </row>
    <row r="18" spans="1:14" x14ac:dyDescent="0.3">
      <c r="A18">
        <v>4</v>
      </c>
      <c r="B18">
        <v>2021</v>
      </c>
      <c r="C18" t="s">
        <v>23</v>
      </c>
      <c r="D18">
        <v>24</v>
      </c>
      <c r="E18" t="s">
        <v>38</v>
      </c>
      <c r="F18" t="s">
        <v>76</v>
      </c>
      <c r="G18" t="s">
        <v>77</v>
      </c>
      <c r="H18" t="s">
        <v>78</v>
      </c>
      <c r="I18" t="s">
        <v>17</v>
      </c>
      <c r="J18">
        <v>0</v>
      </c>
      <c r="K18">
        <v>113557</v>
      </c>
      <c r="L18">
        <v>8456827</v>
      </c>
      <c r="M18" t="str">
        <f t="shared" si="0"/>
        <v>ICD / Dry Port</v>
      </c>
      <c r="N18" t="str">
        <f>TEXT(DATE(EXPORT[[#This Row],[Year]], A18, 1), "mmmm")</f>
        <v>April</v>
      </c>
    </row>
    <row r="19" spans="1:14" x14ac:dyDescent="0.3">
      <c r="A19">
        <v>6</v>
      </c>
      <c r="B19">
        <v>2020</v>
      </c>
      <c r="C19" t="s">
        <v>79</v>
      </c>
      <c r="D19">
        <v>9</v>
      </c>
      <c r="E19" t="s">
        <v>80</v>
      </c>
      <c r="F19" t="s">
        <v>81</v>
      </c>
      <c r="G19" t="s">
        <v>82</v>
      </c>
      <c r="H19" t="s">
        <v>83</v>
      </c>
      <c r="I19" t="s">
        <v>17</v>
      </c>
      <c r="J19">
        <v>0</v>
      </c>
      <c r="K19">
        <v>25352</v>
      </c>
      <c r="L19">
        <v>1919829</v>
      </c>
      <c r="M19" t="str">
        <f t="shared" si="0"/>
        <v>Other</v>
      </c>
      <c r="N19" t="str">
        <f>TEXT(DATE(EXPORT[[#This Row],[Year]], A19, 1), "mmmm")</f>
        <v>June</v>
      </c>
    </row>
    <row r="20" spans="1:14" x14ac:dyDescent="0.3">
      <c r="A20">
        <v>5</v>
      </c>
      <c r="B20">
        <v>2021</v>
      </c>
      <c r="C20" t="s">
        <v>58</v>
      </c>
      <c r="D20">
        <v>27</v>
      </c>
      <c r="E20" t="s">
        <v>84</v>
      </c>
      <c r="F20" t="s">
        <v>85</v>
      </c>
      <c r="G20" t="s">
        <v>86</v>
      </c>
      <c r="H20" t="s">
        <v>87</v>
      </c>
      <c r="I20" t="s">
        <v>17</v>
      </c>
      <c r="J20">
        <v>0</v>
      </c>
      <c r="K20">
        <v>588656</v>
      </c>
      <c r="L20">
        <v>43129443</v>
      </c>
      <c r="M20" t="str">
        <f t="shared" si="0"/>
        <v>ICD / Dry Port</v>
      </c>
      <c r="N20" t="str">
        <f>TEXT(DATE(EXPORT[[#This Row],[Year]], A20, 1), "mmmm")</f>
        <v>May</v>
      </c>
    </row>
    <row r="21" spans="1:14" x14ac:dyDescent="0.3">
      <c r="A21">
        <v>6</v>
      </c>
      <c r="B21">
        <v>2019</v>
      </c>
      <c r="C21" t="s">
        <v>79</v>
      </c>
      <c r="D21">
        <v>9</v>
      </c>
      <c r="E21" t="s">
        <v>88</v>
      </c>
      <c r="F21" t="s">
        <v>89</v>
      </c>
      <c r="G21" t="s">
        <v>86</v>
      </c>
      <c r="H21" t="s">
        <v>87</v>
      </c>
      <c r="I21" t="s">
        <v>17</v>
      </c>
      <c r="J21">
        <v>0</v>
      </c>
      <c r="K21">
        <v>454924</v>
      </c>
      <c r="L21">
        <v>31589419</v>
      </c>
      <c r="M21" t="str">
        <f t="shared" si="0"/>
        <v>CFS</v>
      </c>
      <c r="N21" t="str">
        <f>TEXT(DATE(EXPORT[[#This Row],[Year]], A21, 1), "mmmm")</f>
        <v>June</v>
      </c>
    </row>
    <row r="22" spans="1:14" x14ac:dyDescent="0.3">
      <c r="A22">
        <v>3</v>
      </c>
      <c r="B22">
        <v>2020</v>
      </c>
      <c r="C22" t="s">
        <v>47</v>
      </c>
      <c r="D22">
        <v>7</v>
      </c>
      <c r="E22" t="s">
        <v>51</v>
      </c>
      <c r="F22" t="s">
        <v>90</v>
      </c>
      <c r="G22" t="s">
        <v>49</v>
      </c>
      <c r="H22" t="s">
        <v>50</v>
      </c>
      <c r="I22" t="s">
        <v>17</v>
      </c>
      <c r="J22">
        <v>0</v>
      </c>
      <c r="K22">
        <v>43791</v>
      </c>
      <c r="L22">
        <v>3255911</v>
      </c>
      <c r="M22" t="str">
        <f t="shared" si="0"/>
        <v>ICD / Dry Port</v>
      </c>
      <c r="N22" t="str">
        <f>TEXT(DATE(EXPORT[[#This Row],[Year]], A22, 1), "mmmm")</f>
        <v>March</v>
      </c>
    </row>
    <row r="23" spans="1:14" x14ac:dyDescent="0.3">
      <c r="A23">
        <v>7</v>
      </c>
      <c r="B23">
        <v>2021</v>
      </c>
      <c r="C23" t="s">
        <v>58</v>
      </c>
      <c r="D23">
        <v>27</v>
      </c>
      <c r="E23" t="s">
        <v>59</v>
      </c>
      <c r="F23" t="s">
        <v>91</v>
      </c>
      <c r="G23" t="s">
        <v>92</v>
      </c>
      <c r="H23" t="s">
        <v>93</v>
      </c>
      <c r="I23" t="s">
        <v>17</v>
      </c>
      <c r="J23">
        <v>0</v>
      </c>
      <c r="K23">
        <v>1364</v>
      </c>
      <c r="L23">
        <v>101632</v>
      </c>
      <c r="M23" t="str">
        <f t="shared" si="0"/>
        <v>Sea Port</v>
      </c>
      <c r="N23" t="str">
        <f>TEXT(DATE(EXPORT[[#This Row],[Year]], A23, 1), "mmmm")</f>
        <v>July</v>
      </c>
    </row>
    <row r="24" spans="1:14" x14ac:dyDescent="0.3">
      <c r="A24">
        <v>12</v>
      </c>
      <c r="B24">
        <v>2019</v>
      </c>
      <c r="C24" t="s">
        <v>58</v>
      </c>
      <c r="D24">
        <v>27</v>
      </c>
      <c r="E24" t="s">
        <v>59</v>
      </c>
      <c r="F24" t="s">
        <v>94</v>
      </c>
      <c r="G24" t="s">
        <v>95</v>
      </c>
      <c r="H24" t="s">
        <v>96</v>
      </c>
      <c r="I24" t="s">
        <v>17</v>
      </c>
      <c r="J24">
        <v>0</v>
      </c>
      <c r="K24">
        <v>131434</v>
      </c>
      <c r="L24">
        <v>9357109</v>
      </c>
      <c r="M24" t="str">
        <f t="shared" si="0"/>
        <v>Sea Port</v>
      </c>
      <c r="N24" t="str">
        <f>TEXT(DATE(EXPORT[[#This Row],[Year]], A24, 1), "mmmm")</f>
        <v>December</v>
      </c>
    </row>
    <row r="25" spans="1:14" x14ac:dyDescent="0.3">
      <c r="A25">
        <v>11</v>
      </c>
      <c r="B25">
        <v>2019</v>
      </c>
      <c r="C25" t="s">
        <v>18</v>
      </c>
      <c r="D25">
        <v>6</v>
      </c>
      <c r="E25" t="s">
        <v>97</v>
      </c>
      <c r="F25" t="s">
        <v>98</v>
      </c>
      <c r="G25" t="s">
        <v>99</v>
      </c>
      <c r="H25" t="s">
        <v>100</v>
      </c>
      <c r="I25" t="s">
        <v>17</v>
      </c>
      <c r="J25">
        <v>0</v>
      </c>
      <c r="K25">
        <v>1172</v>
      </c>
      <c r="L25">
        <v>83763</v>
      </c>
      <c r="M25" t="str">
        <f t="shared" si="0"/>
        <v>ICD / Dry Port</v>
      </c>
      <c r="N25" t="str">
        <f>TEXT(DATE(EXPORT[[#This Row],[Year]], A25, 1), "mmmm")</f>
        <v>November</v>
      </c>
    </row>
    <row r="26" spans="1:14" x14ac:dyDescent="0.3">
      <c r="A26">
        <v>8</v>
      </c>
      <c r="B26">
        <v>2023</v>
      </c>
      <c r="C26" t="s">
        <v>23</v>
      </c>
      <c r="D26">
        <v>24</v>
      </c>
      <c r="E26" t="s">
        <v>101</v>
      </c>
      <c r="F26" t="s">
        <v>102</v>
      </c>
      <c r="G26" t="s">
        <v>103</v>
      </c>
      <c r="H26" t="s">
        <v>104</v>
      </c>
      <c r="I26" t="s">
        <v>17</v>
      </c>
      <c r="J26">
        <v>0</v>
      </c>
      <c r="K26">
        <v>61351</v>
      </c>
      <c r="L26">
        <v>5079003</v>
      </c>
      <c r="M26" t="str">
        <f t="shared" si="0"/>
        <v>SEZ / Industrial Zone</v>
      </c>
      <c r="N26" t="str">
        <f>TEXT(DATE(EXPORT[[#This Row],[Year]], A26, 1), "mmmm")</f>
        <v>August</v>
      </c>
    </row>
    <row r="27" spans="1:14" x14ac:dyDescent="0.3">
      <c r="A27">
        <v>7</v>
      </c>
      <c r="B27">
        <v>2020</v>
      </c>
      <c r="C27" t="s">
        <v>42</v>
      </c>
      <c r="D27">
        <v>33</v>
      </c>
      <c r="E27" t="s">
        <v>67</v>
      </c>
      <c r="F27" t="s">
        <v>105</v>
      </c>
      <c r="G27" t="s">
        <v>106</v>
      </c>
      <c r="H27" t="s">
        <v>558</v>
      </c>
      <c r="I27" t="s">
        <v>17</v>
      </c>
      <c r="J27">
        <v>0</v>
      </c>
      <c r="K27">
        <v>2950</v>
      </c>
      <c r="L27">
        <v>221205</v>
      </c>
      <c r="M27" t="str">
        <f t="shared" si="0"/>
        <v>ICD / Dry Port</v>
      </c>
      <c r="N27" t="str">
        <f>TEXT(DATE(EXPORT[[#This Row],[Year]], A27, 1), "mmmm")</f>
        <v>July</v>
      </c>
    </row>
    <row r="28" spans="1:14" x14ac:dyDescent="0.3">
      <c r="A28">
        <v>5</v>
      </c>
      <c r="B28">
        <v>2018</v>
      </c>
      <c r="C28" t="s">
        <v>47</v>
      </c>
      <c r="D28">
        <v>7</v>
      </c>
      <c r="E28" t="s">
        <v>48</v>
      </c>
      <c r="F28" t="s">
        <v>108</v>
      </c>
      <c r="G28" t="s">
        <v>109</v>
      </c>
      <c r="H28" t="s">
        <v>110</v>
      </c>
      <c r="I28" t="s">
        <v>17</v>
      </c>
      <c r="J28">
        <v>0</v>
      </c>
      <c r="K28">
        <v>5465</v>
      </c>
      <c r="L28">
        <v>369072</v>
      </c>
      <c r="M28" t="str">
        <f t="shared" si="0"/>
        <v>Air Port</v>
      </c>
      <c r="N28" t="str">
        <f>TEXT(DATE(EXPORT[[#This Row],[Year]], A28, 1), "mmmm")</f>
        <v>May</v>
      </c>
    </row>
    <row r="29" spans="1:14" x14ac:dyDescent="0.3">
      <c r="A29">
        <v>6</v>
      </c>
      <c r="B29">
        <v>2021</v>
      </c>
      <c r="C29" t="s">
        <v>42</v>
      </c>
      <c r="D29">
        <v>33</v>
      </c>
      <c r="E29" t="s">
        <v>111</v>
      </c>
      <c r="F29" t="s">
        <v>112</v>
      </c>
      <c r="G29" t="s">
        <v>113</v>
      </c>
      <c r="H29" t="s">
        <v>114</v>
      </c>
      <c r="I29" t="s">
        <v>17</v>
      </c>
      <c r="J29">
        <v>0</v>
      </c>
      <c r="K29">
        <v>202</v>
      </c>
      <c r="L29">
        <v>14826</v>
      </c>
      <c r="M29" t="str">
        <f t="shared" si="0"/>
        <v>Air Port</v>
      </c>
      <c r="N29" t="str">
        <f>TEXT(DATE(EXPORT[[#This Row],[Year]], A29, 1), "mmmm")</f>
        <v>June</v>
      </c>
    </row>
    <row r="30" spans="1:14" x14ac:dyDescent="0.3">
      <c r="A30">
        <v>9</v>
      </c>
      <c r="B30">
        <v>2019</v>
      </c>
      <c r="C30" t="s">
        <v>23</v>
      </c>
      <c r="D30">
        <v>24</v>
      </c>
      <c r="E30" t="s">
        <v>38</v>
      </c>
      <c r="F30" t="s">
        <v>115</v>
      </c>
      <c r="G30" t="s">
        <v>116</v>
      </c>
      <c r="H30" t="s">
        <v>117</v>
      </c>
      <c r="I30" t="s">
        <v>17</v>
      </c>
      <c r="J30">
        <v>0</v>
      </c>
      <c r="K30">
        <v>34234</v>
      </c>
      <c r="L30">
        <v>2442017</v>
      </c>
      <c r="M30" t="str">
        <f t="shared" si="0"/>
        <v>ICD / Dry Port</v>
      </c>
      <c r="N30" t="str">
        <f>TEXT(DATE(EXPORT[[#This Row],[Year]], A30, 1), "mmmm")</f>
        <v>September</v>
      </c>
    </row>
    <row r="31" spans="1:14" x14ac:dyDescent="0.3">
      <c r="A31">
        <v>4</v>
      </c>
      <c r="B31">
        <v>2021</v>
      </c>
      <c r="C31" t="s">
        <v>47</v>
      </c>
      <c r="D31">
        <v>7</v>
      </c>
      <c r="E31" t="s">
        <v>48</v>
      </c>
      <c r="F31" t="s">
        <v>118</v>
      </c>
      <c r="G31" t="s">
        <v>612</v>
      </c>
      <c r="H31" t="s">
        <v>62</v>
      </c>
      <c r="I31" t="s">
        <v>17</v>
      </c>
      <c r="J31">
        <v>0</v>
      </c>
      <c r="K31">
        <v>52610</v>
      </c>
      <c r="L31">
        <v>3917963</v>
      </c>
      <c r="M31" t="str">
        <f t="shared" si="0"/>
        <v>Air Port</v>
      </c>
      <c r="N31" t="str">
        <f>TEXT(DATE(EXPORT[[#This Row],[Year]], A31, 1), "mmmm")</f>
        <v>April</v>
      </c>
    </row>
    <row r="32" spans="1:14" x14ac:dyDescent="0.3">
      <c r="A32">
        <v>10</v>
      </c>
      <c r="B32">
        <v>2019</v>
      </c>
      <c r="C32" t="s">
        <v>63</v>
      </c>
      <c r="D32">
        <v>23</v>
      </c>
      <c r="E32" t="s">
        <v>119</v>
      </c>
      <c r="F32" t="s">
        <v>120</v>
      </c>
      <c r="G32" t="s">
        <v>121</v>
      </c>
      <c r="H32" t="s">
        <v>122</v>
      </c>
      <c r="I32" t="s">
        <v>17</v>
      </c>
      <c r="J32">
        <v>0</v>
      </c>
      <c r="K32">
        <v>27524</v>
      </c>
      <c r="L32">
        <v>1955302</v>
      </c>
      <c r="M32" t="str">
        <f t="shared" si="0"/>
        <v>ICD / Dry Port</v>
      </c>
      <c r="N32" t="str">
        <f>TEXT(DATE(EXPORT[[#This Row],[Year]], A32, 1), "mmmm")</f>
        <v>October</v>
      </c>
    </row>
    <row r="33" spans="1:14" x14ac:dyDescent="0.3">
      <c r="A33">
        <v>3</v>
      </c>
      <c r="B33">
        <v>2020</v>
      </c>
      <c r="C33" t="s">
        <v>58</v>
      </c>
      <c r="D33">
        <v>27</v>
      </c>
      <c r="E33" t="s">
        <v>59</v>
      </c>
      <c r="F33" t="s">
        <v>35</v>
      </c>
      <c r="G33" t="s">
        <v>123</v>
      </c>
      <c r="H33" t="s">
        <v>613</v>
      </c>
      <c r="I33" t="s">
        <v>17</v>
      </c>
      <c r="J33">
        <v>0</v>
      </c>
      <c r="K33">
        <v>6740340</v>
      </c>
      <c r="L33">
        <v>501148968</v>
      </c>
      <c r="M33" t="str">
        <f t="shared" si="0"/>
        <v>Sea Port</v>
      </c>
      <c r="N33" t="str">
        <f>TEXT(DATE(EXPORT[[#This Row],[Year]], A33, 1), "mmmm")</f>
        <v>March</v>
      </c>
    </row>
    <row r="34" spans="1:14" x14ac:dyDescent="0.3">
      <c r="A34">
        <v>1</v>
      </c>
      <c r="B34">
        <v>2020</v>
      </c>
      <c r="C34" t="s">
        <v>58</v>
      </c>
      <c r="D34">
        <v>27</v>
      </c>
      <c r="E34" t="s">
        <v>125</v>
      </c>
      <c r="F34" t="s">
        <v>126</v>
      </c>
      <c r="G34" t="s">
        <v>127</v>
      </c>
      <c r="H34" t="s">
        <v>128</v>
      </c>
      <c r="I34" t="s">
        <v>17</v>
      </c>
      <c r="J34">
        <v>0</v>
      </c>
      <c r="K34">
        <v>3919</v>
      </c>
      <c r="L34">
        <v>279491</v>
      </c>
      <c r="M34" t="str">
        <f t="shared" si="0"/>
        <v>Air Port</v>
      </c>
      <c r="N34" t="str">
        <f>TEXT(DATE(EXPORT[[#This Row],[Year]], A34, 1), "mmmm")</f>
        <v>January</v>
      </c>
    </row>
    <row r="35" spans="1:14" x14ac:dyDescent="0.3">
      <c r="A35">
        <v>4</v>
      </c>
      <c r="B35">
        <v>2018</v>
      </c>
      <c r="C35" t="s">
        <v>58</v>
      </c>
      <c r="D35">
        <v>27</v>
      </c>
      <c r="E35" t="s">
        <v>129</v>
      </c>
      <c r="F35" t="s">
        <v>68</v>
      </c>
      <c r="G35" t="s">
        <v>123</v>
      </c>
      <c r="H35" t="s">
        <v>613</v>
      </c>
      <c r="I35" t="s">
        <v>17</v>
      </c>
      <c r="J35">
        <v>0</v>
      </c>
      <c r="K35">
        <v>7065</v>
      </c>
      <c r="L35">
        <v>463693</v>
      </c>
      <c r="M35" t="str">
        <f t="shared" si="0"/>
        <v>ICD / Dry Port</v>
      </c>
      <c r="N35" t="str">
        <f>TEXT(DATE(EXPORT[[#This Row],[Year]], A35, 1), "mmmm")</f>
        <v>April</v>
      </c>
    </row>
    <row r="36" spans="1:14" x14ac:dyDescent="0.3">
      <c r="A36">
        <v>12</v>
      </c>
      <c r="B36">
        <v>2018</v>
      </c>
      <c r="C36" t="s">
        <v>23</v>
      </c>
      <c r="D36">
        <v>24</v>
      </c>
      <c r="E36" t="s">
        <v>24</v>
      </c>
      <c r="F36" t="s">
        <v>130</v>
      </c>
      <c r="G36" t="s">
        <v>45</v>
      </c>
      <c r="H36" t="s">
        <v>46</v>
      </c>
      <c r="I36" t="s">
        <v>17</v>
      </c>
      <c r="J36">
        <v>0</v>
      </c>
      <c r="K36">
        <v>39730</v>
      </c>
      <c r="L36">
        <v>2810152</v>
      </c>
      <c r="M36" t="str">
        <f t="shared" si="0"/>
        <v>Other</v>
      </c>
      <c r="N36" t="str">
        <f>TEXT(DATE(EXPORT[[#This Row],[Year]], A36, 1), "mmmm")</f>
        <v>December</v>
      </c>
    </row>
    <row r="37" spans="1:14" x14ac:dyDescent="0.3">
      <c r="A37">
        <v>7</v>
      </c>
      <c r="B37">
        <v>2019</v>
      </c>
      <c r="C37" t="s">
        <v>23</v>
      </c>
      <c r="D37">
        <v>24</v>
      </c>
      <c r="E37" t="s">
        <v>38</v>
      </c>
      <c r="F37" t="s">
        <v>131</v>
      </c>
      <c r="G37" t="s">
        <v>36</v>
      </c>
      <c r="H37" t="s">
        <v>37</v>
      </c>
      <c r="I37" t="s">
        <v>17</v>
      </c>
      <c r="J37">
        <v>0</v>
      </c>
      <c r="K37">
        <v>11009</v>
      </c>
      <c r="L37">
        <v>757525</v>
      </c>
      <c r="M37" t="str">
        <f t="shared" si="0"/>
        <v>ICD / Dry Port</v>
      </c>
      <c r="N37" t="str">
        <f>TEXT(DATE(EXPORT[[#This Row],[Year]], A37, 1), "mmmm")</f>
        <v>July</v>
      </c>
    </row>
    <row r="38" spans="1:14" x14ac:dyDescent="0.3">
      <c r="A38">
        <v>1</v>
      </c>
      <c r="B38">
        <v>2020</v>
      </c>
      <c r="C38" t="s">
        <v>132</v>
      </c>
      <c r="D38">
        <v>19</v>
      </c>
      <c r="E38" t="s">
        <v>133</v>
      </c>
      <c r="F38" t="s">
        <v>134</v>
      </c>
      <c r="G38" t="s">
        <v>135</v>
      </c>
      <c r="H38" t="s">
        <v>136</v>
      </c>
      <c r="I38" t="s">
        <v>17</v>
      </c>
      <c r="J38">
        <v>0</v>
      </c>
      <c r="K38">
        <v>322</v>
      </c>
      <c r="L38">
        <v>22982</v>
      </c>
      <c r="M38" t="str">
        <f t="shared" si="0"/>
        <v>Air Port</v>
      </c>
      <c r="N38" t="str">
        <f>TEXT(DATE(EXPORT[[#This Row],[Year]], A38, 1), "mmmm")</f>
        <v>January</v>
      </c>
    </row>
    <row r="39" spans="1:14" x14ac:dyDescent="0.3">
      <c r="A39">
        <v>9</v>
      </c>
      <c r="B39">
        <v>2021</v>
      </c>
      <c r="C39" t="s">
        <v>47</v>
      </c>
      <c r="D39">
        <v>7</v>
      </c>
      <c r="E39" t="s">
        <v>48</v>
      </c>
      <c r="F39" t="s">
        <v>85</v>
      </c>
      <c r="G39" t="s">
        <v>95</v>
      </c>
      <c r="H39" t="s">
        <v>96</v>
      </c>
      <c r="I39" t="s">
        <v>17</v>
      </c>
      <c r="J39">
        <v>0</v>
      </c>
      <c r="K39">
        <v>0</v>
      </c>
      <c r="L39">
        <v>8</v>
      </c>
      <c r="M39" t="str">
        <f t="shared" si="0"/>
        <v>Air Port</v>
      </c>
      <c r="N39" t="str">
        <f>TEXT(DATE(EXPORT[[#This Row],[Year]], A39, 1), "mmmm")</f>
        <v>September</v>
      </c>
    </row>
    <row r="40" spans="1:14" x14ac:dyDescent="0.3">
      <c r="A40">
        <v>8</v>
      </c>
      <c r="B40">
        <v>2023</v>
      </c>
      <c r="C40" t="s">
        <v>137</v>
      </c>
      <c r="D40">
        <v>36</v>
      </c>
      <c r="E40" t="s">
        <v>138</v>
      </c>
      <c r="F40" t="s">
        <v>139</v>
      </c>
      <c r="G40" t="s">
        <v>140</v>
      </c>
      <c r="H40" t="s">
        <v>614</v>
      </c>
      <c r="I40" t="s">
        <v>17</v>
      </c>
      <c r="J40">
        <v>0</v>
      </c>
      <c r="K40">
        <v>4690</v>
      </c>
      <c r="L40">
        <v>388288</v>
      </c>
      <c r="M40" t="str">
        <f t="shared" si="0"/>
        <v>ICD / Dry Port</v>
      </c>
      <c r="N40" t="str">
        <f>TEXT(DATE(EXPORT[[#This Row],[Year]], A40, 1), "mmmm")</f>
        <v>August</v>
      </c>
    </row>
    <row r="41" spans="1:14" x14ac:dyDescent="0.3">
      <c r="A41">
        <v>4</v>
      </c>
      <c r="B41">
        <v>2022</v>
      </c>
      <c r="C41" t="s">
        <v>58</v>
      </c>
      <c r="D41">
        <v>27</v>
      </c>
      <c r="E41" t="s">
        <v>125</v>
      </c>
      <c r="F41" t="s">
        <v>142</v>
      </c>
      <c r="G41" t="s">
        <v>143</v>
      </c>
      <c r="H41" t="s">
        <v>144</v>
      </c>
      <c r="I41" t="s">
        <v>17</v>
      </c>
      <c r="J41">
        <v>0</v>
      </c>
      <c r="K41">
        <v>467554</v>
      </c>
      <c r="L41">
        <v>35612561</v>
      </c>
      <c r="M41" t="str">
        <f t="shared" si="0"/>
        <v>Air Port</v>
      </c>
      <c r="N41" t="str">
        <f>TEXT(DATE(EXPORT[[#This Row],[Year]], A41, 1), "mmmm")</f>
        <v>April</v>
      </c>
    </row>
    <row r="42" spans="1:14" x14ac:dyDescent="0.3">
      <c r="A42">
        <v>1</v>
      </c>
      <c r="B42">
        <v>2023</v>
      </c>
      <c r="C42" t="s">
        <v>23</v>
      </c>
      <c r="D42">
        <v>24</v>
      </c>
      <c r="E42" t="s">
        <v>38</v>
      </c>
      <c r="F42" t="s">
        <v>145</v>
      </c>
      <c r="G42" t="s">
        <v>146</v>
      </c>
      <c r="H42" t="s">
        <v>147</v>
      </c>
      <c r="I42" t="s">
        <v>17</v>
      </c>
      <c r="J42">
        <v>0</v>
      </c>
      <c r="K42">
        <v>2835</v>
      </c>
      <c r="L42">
        <v>232162</v>
      </c>
      <c r="M42" t="str">
        <f t="shared" si="0"/>
        <v>ICD / Dry Port</v>
      </c>
      <c r="N42" t="str">
        <f>TEXT(DATE(EXPORT[[#This Row],[Year]], A42, 1), "mmmm")</f>
        <v>January</v>
      </c>
    </row>
    <row r="43" spans="1:14" x14ac:dyDescent="0.3">
      <c r="A43">
        <v>10</v>
      </c>
      <c r="B43">
        <v>2022</v>
      </c>
      <c r="C43" t="s">
        <v>137</v>
      </c>
      <c r="D43">
        <v>36</v>
      </c>
      <c r="E43" t="s">
        <v>148</v>
      </c>
      <c r="F43" t="s">
        <v>149</v>
      </c>
      <c r="G43" t="s">
        <v>150</v>
      </c>
      <c r="H43" t="s">
        <v>151</v>
      </c>
      <c r="I43" t="s">
        <v>17</v>
      </c>
      <c r="J43">
        <v>0</v>
      </c>
      <c r="K43">
        <v>587</v>
      </c>
      <c r="L43">
        <v>48322</v>
      </c>
      <c r="M43" t="str">
        <f t="shared" si="0"/>
        <v>Sea Port</v>
      </c>
      <c r="N43" t="str">
        <f>TEXT(DATE(EXPORT[[#This Row],[Year]], A43, 1), "mmmm")</f>
        <v>October</v>
      </c>
    </row>
    <row r="44" spans="1:14" x14ac:dyDescent="0.3">
      <c r="A44">
        <v>10</v>
      </c>
      <c r="B44">
        <v>2019</v>
      </c>
      <c r="C44" t="s">
        <v>42</v>
      </c>
      <c r="D44">
        <v>33</v>
      </c>
      <c r="E44" t="s">
        <v>152</v>
      </c>
      <c r="F44" t="s">
        <v>153</v>
      </c>
      <c r="G44" t="s">
        <v>154</v>
      </c>
      <c r="H44" t="s">
        <v>155</v>
      </c>
      <c r="I44" t="s">
        <v>17</v>
      </c>
      <c r="J44">
        <v>0</v>
      </c>
      <c r="K44">
        <v>3008</v>
      </c>
      <c r="L44">
        <v>213701</v>
      </c>
      <c r="M44" t="str">
        <f t="shared" si="0"/>
        <v>ICD / Dry Port</v>
      </c>
      <c r="N44" t="str">
        <f>TEXT(DATE(EXPORT[[#This Row],[Year]], A44, 1), "mmmm")</f>
        <v>October</v>
      </c>
    </row>
    <row r="45" spans="1:14" x14ac:dyDescent="0.3">
      <c r="A45">
        <v>4</v>
      </c>
      <c r="B45">
        <v>2022</v>
      </c>
      <c r="C45" t="s">
        <v>42</v>
      </c>
      <c r="D45">
        <v>33</v>
      </c>
      <c r="E45" t="s">
        <v>111</v>
      </c>
      <c r="F45" t="s">
        <v>156</v>
      </c>
      <c r="G45" t="s">
        <v>157</v>
      </c>
      <c r="H45" t="s">
        <v>158</v>
      </c>
      <c r="I45" t="s">
        <v>17</v>
      </c>
      <c r="J45">
        <v>0</v>
      </c>
      <c r="K45">
        <v>17811</v>
      </c>
      <c r="L45">
        <v>1356600</v>
      </c>
      <c r="M45" t="str">
        <f t="shared" si="0"/>
        <v>Air Port</v>
      </c>
      <c r="N45" t="str">
        <f>TEXT(DATE(EXPORT[[#This Row],[Year]], A45, 1), "mmmm")</f>
        <v>April</v>
      </c>
    </row>
    <row r="46" spans="1:14" x14ac:dyDescent="0.3">
      <c r="A46">
        <v>3</v>
      </c>
      <c r="B46">
        <v>2023</v>
      </c>
      <c r="C46" t="s">
        <v>47</v>
      </c>
      <c r="D46">
        <v>7</v>
      </c>
      <c r="E46" t="s">
        <v>48</v>
      </c>
      <c r="F46" t="s">
        <v>159</v>
      </c>
      <c r="G46" t="s">
        <v>154</v>
      </c>
      <c r="H46" t="s">
        <v>155</v>
      </c>
      <c r="I46" t="s">
        <v>17</v>
      </c>
      <c r="J46">
        <v>0</v>
      </c>
      <c r="K46">
        <v>85</v>
      </c>
      <c r="L46">
        <v>7001</v>
      </c>
      <c r="M46" t="str">
        <f t="shared" si="0"/>
        <v>Air Port</v>
      </c>
      <c r="N46" t="str">
        <f>TEXT(DATE(EXPORT[[#This Row],[Year]], A46, 1), "mmmm")</f>
        <v>March</v>
      </c>
    </row>
    <row r="47" spans="1:14" x14ac:dyDescent="0.3">
      <c r="A47">
        <v>12</v>
      </c>
      <c r="B47">
        <v>2020</v>
      </c>
      <c r="C47" t="s">
        <v>23</v>
      </c>
      <c r="D47">
        <v>24</v>
      </c>
      <c r="E47" t="s">
        <v>24</v>
      </c>
      <c r="F47" t="s">
        <v>44</v>
      </c>
      <c r="G47" t="s">
        <v>160</v>
      </c>
      <c r="H47" t="s">
        <v>161</v>
      </c>
      <c r="I47" t="s">
        <v>17</v>
      </c>
      <c r="J47">
        <v>0</v>
      </c>
      <c r="K47">
        <v>1229875</v>
      </c>
      <c r="L47">
        <v>90510923</v>
      </c>
      <c r="M47" t="str">
        <f t="shared" si="0"/>
        <v>Other</v>
      </c>
      <c r="N47" t="str">
        <f>TEXT(DATE(EXPORT[[#This Row],[Year]], A47, 1), "mmmm")</f>
        <v>December</v>
      </c>
    </row>
    <row r="48" spans="1:14" x14ac:dyDescent="0.3">
      <c r="A48">
        <v>11</v>
      </c>
      <c r="B48">
        <v>2019</v>
      </c>
      <c r="C48" t="s">
        <v>79</v>
      </c>
      <c r="D48">
        <v>9</v>
      </c>
      <c r="E48" t="s">
        <v>162</v>
      </c>
      <c r="F48" t="s">
        <v>35</v>
      </c>
      <c r="G48" t="s">
        <v>15</v>
      </c>
      <c r="H48" t="s">
        <v>16</v>
      </c>
      <c r="I48" t="s">
        <v>17</v>
      </c>
      <c r="J48">
        <v>0</v>
      </c>
      <c r="K48">
        <v>285241</v>
      </c>
      <c r="L48">
        <v>20380984</v>
      </c>
      <c r="M48" t="str">
        <f t="shared" si="0"/>
        <v>ICD / Dry Port</v>
      </c>
      <c r="N48" t="str">
        <f>TEXT(DATE(EXPORT[[#This Row],[Year]], A48, 1), "mmmm")</f>
        <v>November</v>
      </c>
    </row>
    <row r="49" spans="1:14" x14ac:dyDescent="0.3">
      <c r="A49">
        <v>3</v>
      </c>
      <c r="B49">
        <v>2023</v>
      </c>
      <c r="C49" t="s">
        <v>58</v>
      </c>
      <c r="D49">
        <v>27</v>
      </c>
      <c r="E49" t="s">
        <v>59</v>
      </c>
      <c r="F49" t="s">
        <v>163</v>
      </c>
      <c r="G49" t="s">
        <v>116</v>
      </c>
      <c r="H49" t="s">
        <v>117</v>
      </c>
      <c r="I49" t="s">
        <v>17</v>
      </c>
      <c r="J49">
        <v>0</v>
      </c>
      <c r="K49">
        <v>169582</v>
      </c>
      <c r="L49">
        <v>13954653</v>
      </c>
      <c r="M49" t="str">
        <f t="shared" si="0"/>
        <v>Sea Port</v>
      </c>
      <c r="N49" t="str">
        <f>TEXT(DATE(EXPORT[[#This Row],[Year]], A49, 1), "mmmm")</f>
        <v>March</v>
      </c>
    </row>
    <row r="50" spans="1:14" x14ac:dyDescent="0.3">
      <c r="A50">
        <v>2</v>
      </c>
      <c r="B50">
        <v>2020</v>
      </c>
      <c r="C50" t="s">
        <v>47</v>
      </c>
      <c r="D50">
        <v>7</v>
      </c>
      <c r="E50" t="s">
        <v>51</v>
      </c>
      <c r="F50" t="s">
        <v>164</v>
      </c>
      <c r="G50" t="s">
        <v>26</v>
      </c>
      <c r="H50" t="s">
        <v>27</v>
      </c>
      <c r="I50" t="s">
        <v>17</v>
      </c>
      <c r="J50">
        <v>0</v>
      </c>
      <c r="K50">
        <v>5398</v>
      </c>
      <c r="L50">
        <v>385891</v>
      </c>
      <c r="M50" t="str">
        <f t="shared" si="0"/>
        <v>ICD / Dry Port</v>
      </c>
      <c r="N50" t="str">
        <f>TEXT(DATE(EXPORT[[#This Row],[Year]], A50, 1), "mmmm")</f>
        <v>February</v>
      </c>
    </row>
    <row r="51" spans="1:14" x14ac:dyDescent="0.3">
      <c r="A51">
        <v>2</v>
      </c>
      <c r="B51">
        <v>2019</v>
      </c>
      <c r="C51" t="s">
        <v>12</v>
      </c>
      <c r="D51">
        <v>8</v>
      </c>
      <c r="E51" t="s">
        <v>165</v>
      </c>
      <c r="F51" t="s">
        <v>153</v>
      </c>
      <c r="G51" t="s">
        <v>15</v>
      </c>
      <c r="H51" t="s">
        <v>16</v>
      </c>
      <c r="I51" t="s">
        <v>17</v>
      </c>
      <c r="J51">
        <v>0</v>
      </c>
      <c r="K51">
        <v>24072</v>
      </c>
      <c r="L51">
        <v>1714476</v>
      </c>
      <c r="M51" t="str">
        <f t="shared" si="0"/>
        <v>ICD / Dry Port</v>
      </c>
      <c r="N51" t="str">
        <f>TEXT(DATE(EXPORT[[#This Row],[Year]], A51, 1), "mmmm")</f>
        <v>February</v>
      </c>
    </row>
    <row r="52" spans="1:14" x14ac:dyDescent="0.3">
      <c r="A52">
        <v>8</v>
      </c>
      <c r="B52">
        <v>2021</v>
      </c>
      <c r="C52" t="s">
        <v>18</v>
      </c>
      <c r="D52">
        <v>6</v>
      </c>
      <c r="E52" t="s">
        <v>166</v>
      </c>
      <c r="F52" t="s">
        <v>102</v>
      </c>
      <c r="G52" t="s">
        <v>86</v>
      </c>
      <c r="H52" t="s">
        <v>87</v>
      </c>
      <c r="I52" t="s">
        <v>17</v>
      </c>
      <c r="J52">
        <v>0</v>
      </c>
      <c r="K52">
        <v>53108</v>
      </c>
      <c r="L52">
        <v>3939768</v>
      </c>
      <c r="M52" t="str">
        <f t="shared" si="0"/>
        <v>ICD / Dry Port</v>
      </c>
      <c r="N52" t="str">
        <f>TEXT(DATE(EXPORT[[#This Row],[Year]], A52, 1), "mmmm")</f>
        <v>August</v>
      </c>
    </row>
    <row r="53" spans="1:14" x14ac:dyDescent="0.3">
      <c r="A53">
        <v>11</v>
      </c>
      <c r="B53">
        <v>2019</v>
      </c>
      <c r="C53" t="s">
        <v>47</v>
      </c>
      <c r="D53">
        <v>7</v>
      </c>
      <c r="E53" t="s">
        <v>48</v>
      </c>
      <c r="F53" t="s">
        <v>167</v>
      </c>
      <c r="G53" t="s">
        <v>168</v>
      </c>
      <c r="H53" t="s">
        <v>169</v>
      </c>
      <c r="I53" t="s">
        <v>17</v>
      </c>
      <c r="J53">
        <v>0</v>
      </c>
      <c r="K53">
        <v>726</v>
      </c>
      <c r="L53">
        <v>51857</v>
      </c>
      <c r="M53" t="str">
        <f t="shared" si="0"/>
        <v>Air Port</v>
      </c>
      <c r="N53" t="str">
        <f>TEXT(DATE(EXPORT[[#This Row],[Year]], A53, 1), "mmmm")</f>
        <v>November</v>
      </c>
    </row>
    <row r="54" spans="1:14" x14ac:dyDescent="0.3">
      <c r="A54">
        <v>4</v>
      </c>
      <c r="B54">
        <v>2021</v>
      </c>
      <c r="C54" t="s">
        <v>42</v>
      </c>
      <c r="D54">
        <v>33</v>
      </c>
      <c r="E54" t="s">
        <v>170</v>
      </c>
      <c r="F54" t="s">
        <v>171</v>
      </c>
      <c r="G54" t="s">
        <v>103</v>
      </c>
      <c r="H54" t="s">
        <v>104</v>
      </c>
      <c r="I54" t="s">
        <v>17</v>
      </c>
      <c r="J54">
        <v>0</v>
      </c>
      <c r="K54">
        <v>11324</v>
      </c>
      <c r="L54">
        <v>843308</v>
      </c>
      <c r="M54" t="str">
        <f t="shared" si="0"/>
        <v>Other</v>
      </c>
      <c r="N54" t="str">
        <f>TEXT(DATE(EXPORT[[#This Row],[Year]], A54, 1), "mmmm")</f>
        <v>April</v>
      </c>
    </row>
    <row r="55" spans="1:14" x14ac:dyDescent="0.3">
      <c r="A55">
        <v>10</v>
      </c>
      <c r="B55">
        <v>2020</v>
      </c>
      <c r="C55" t="s">
        <v>137</v>
      </c>
      <c r="D55">
        <v>36</v>
      </c>
      <c r="E55" t="s">
        <v>138</v>
      </c>
      <c r="F55" t="s">
        <v>172</v>
      </c>
      <c r="G55" t="s">
        <v>173</v>
      </c>
      <c r="H55" t="s">
        <v>174</v>
      </c>
      <c r="I55" t="s">
        <v>17</v>
      </c>
      <c r="J55">
        <v>0</v>
      </c>
      <c r="K55">
        <v>74152</v>
      </c>
      <c r="L55">
        <v>5447033</v>
      </c>
      <c r="M55" t="str">
        <f t="shared" si="0"/>
        <v>ICD / Dry Port</v>
      </c>
      <c r="N55" t="str">
        <f>TEXT(DATE(EXPORT[[#This Row],[Year]], A55, 1), "mmmm")</f>
        <v>October</v>
      </c>
    </row>
    <row r="56" spans="1:14" x14ac:dyDescent="0.3">
      <c r="A56">
        <v>10</v>
      </c>
      <c r="B56">
        <v>2019</v>
      </c>
      <c r="C56" t="s">
        <v>58</v>
      </c>
      <c r="D56">
        <v>27</v>
      </c>
      <c r="E56" t="s">
        <v>59</v>
      </c>
      <c r="F56" t="s">
        <v>175</v>
      </c>
      <c r="G56" t="s">
        <v>99</v>
      </c>
      <c r="H56" t="s">
        <v>100</v>
      </c>
      <c r="I56" t="s">
        <v>17</v>
      </c>
      <c r="J56">
        <v>0</v>
      </c>
      <c r="K56">
        <v>1180</v>
      </c>
      <c r="L56">
        <v>83836</v>
      </c>
      <c r="M56" t="str">
        <f t="shared" si="0"/>
        <v>Sea Port</v>
      </c>
      <c r="N56" t="str">
        <f>TEXT(DATE(EXPORT[[#This Row],[Year]], A56, 1), "mmmm")</f>
        <v>October</v>
      </c>
    </row>
    <row r="57" spans="1:14" x14ac:dyDescent="0.3">
      <c r="A57">
        <v>12</v>
      </c>
      <c r="B57">
        <v>2020</v>
      </c>
      <c r="C57" t="s">
        <v>79</v>
      </c>
      <c r="D57">
        <v>9</v>
      </c>
      <c r="E57" t="s">
        <v>162</v>
      </c>
      <c r="F57" t="s">
        <v>131</v>
      </c>
      <c r="G57" t="s">
        <v>65</v>
      </c>
      <c r="H57" t="s">
        <v>66</v>
      </c>
      <c r="I57" t="s">
        <v>17</v>
      </c>
      <c r="J57">
        <v>0</v>
      </c>
      <c r="K57">
        <v>8356</v>
      </c>
      <c r="L57">
        <v>614962</v>
      </c>
      <c r="M57" t="str">
        <f t="shared" si="0"/>
        <v>ICD / Dry Port</v>
      </c>
      <c r="N57" t="str">
        <f>TEXT(DATE(EXPORT[[#This Row],[Year]], A57, 1), "mmmm")</f>
        <v>December</v>
      </c>
    </row>
    <row r="58" spans="1:14" x14ac:dyDescent="0.3">
      <c r="A58">
        <v>2</v>
      </c>
      <c r="B58">
        <v>2023</v>
      </c>
      <c r="C58" t="s">
        <v>42</v>
      </c>
      <c r="D58">
        <v>33</v>
      </c>
      <c r="E58" t="s">
        <v>176</v>
      </c>
      <c r="F58" t="s">
        <v>177</v>
      </c>
      <c r="G58" t="s">
        <v>178</v>
      </c>
      <c r="H58" t="s">
        <v>179</v>
      </c>
      <c r="I58" t="s">
        <v>17</v>
      </c>
      <c r="J58">
        <v>0</v>
      </c>
      <c r="K58">
        <v>4852</v>
      </c>
      <c r="L58">
        <v>400792</v>
      </c>
      <c r="M58" t="str">
        <f t="shared" si="0"/>
        <v>Sea Port</v>
      </c>
      <c r="N58" t="str">
        <f>TEXT(DATE(EXPORT[[#This Row],[Year]], A58, 1), "mmmm")</f>
        <v>February</v>
      </c>
    </row>
    <row r="59" spans="1:14" x14ac:dyDescent="0.3">
      <c r="A59">
        <v>5</v>
      </c>
      <c r="B59">
        <v>2022</v>
      </c>
      <c r="C59" t="s">
        <v>47</v>
      </c>
      <c r="D59">
        <v>7</v>
      </c>
      <c r="E59" t="s">
        <v>48</v>
      </c>
      <c r="F59" t="s">
        <v>139</v>
      </c>
      <c r="G59" t="s">
        <v>157</v>
      </c>
      <c r="H59" t="s">
        <v>158</v>
      </c>
      <c r="I59" t="s">
        <v>17</v>
      </c>
      <c r="J59">
        <v>0</v>
      </c>
      <c r="K59">
        <v>1224</v>
      </c>
      <c r="L59">
        <v>94641</v>
      </c>
      <c r="M59" t="str">
        <f t="shared" si="0"/>
        <v>Air Port</v>
      </c>
      <c r="N59" t="str">
        <f>TEXT(DATE(EXPORT[[#This Row],[Year]], A59, 1), "mmmm")</f>
        <v>May</v>
      </c>
    </row>
    <row r="60" spans="1:14" x14ac:dyDescent="0.3">
      <c r="A60">
        <v>2</v>
      </c>
      <c r="B60">
        <v>2021</v>
      </c>
      <c r="C60" t="s">
        <v>18</v>
      </c>
      <c r="D60">
        <v>6</v>
      </c>
      <c r="E60" t="s">
        <v>19</v>
      </c>
      <c r="F60" t="s">
        <v>14</v>
      </c>
      <c r="G60" t="s">
        <v>157</v>
      </c>
      <c r="H60" t="s">
        <v>158</v>
      </c>
      <c r="I60" t="s">
        <v>17</v>
      </c>
      <c r="J60">
        <v>0</v>
      </c>
      <c r="K60">
        <v>532380</v>
      </c>
      <c r="L60">
        <v>38734090</v>
      </c>
      <c r="M60" t="str">
        <f t="shared" si="0"/>
        <v>ICD / Dry Port</v>
      </c>
      <c r="N60" t="str">
        <f>TEXT(DATE(EXPORT[[#This Row],[Year]], A60, 1), "mmmm")</f>
        <v>February</v>
      </c>
    </row>
    <row r="61" spans="1:14" x14ac:dyDescent="0.3">
      <c r="A61">
        <v>3</v>
      </c>
      <c r="B61">
        <v>2023</v>
      </c>
      <c r="C61" t="s">
        <v>28</v>
      </c>
      <c r="D61">
        <v>29</v>
      </c>
      <c r="E61" t="s">
        <v>29</v>
      </c>
      <c r="F61" t="s">
        <v>180</v>
      </c>
      <c r="G61" t="s">
        <v>56</v>
      </c>
      <c r="H61" t="s">
        <v>57</v>
      </c>
      <c r="I61" t="s">
        <v>17</v>
      </c>
      <c r="J61">
        <v>0</v>
      </c>
      <c r="K61">
        <v>123424</v>
      </c>
      <c r="L61">
        <v>10156355</v>
      </c>
      <c r="M61" t="str">
        <f t="shared" si="0"/>
        <v>Sea Port</v>
      </c>
      <c r="N61" t="str">
        <f>TEXT(DATE(EXPORT[[#This Row],[Year]], A61, 1), "mmmm")</f>
        <v>March</v>
      </c>
    </row>
    <row r="62" spans="1:14" x14ac:dyDescent="0.3">
      <c r="A62">
        <v>3</v>
      </c>
      <c r="B62">
        <v>2022</v>
      </c>
      <c r="C62" t="s">
        <v>73</v>
      </c>
      <c r="D62">
        <v>3</v>
      </c>
      <c r="E62" t="s">
        <v>181</v>
      </c>
      <c r="F62" t="s">
        <v>180</v>
      </c>
      <c r="G62" t="s">
        <v>45</v>
      </c>
      <c r="H62" t="s">
        <v>46</v>
      </c>
      <c r="I62" t="s">
        <v>17</v>
      </c>
      <c r="J62">
        <v>0</v>
      </c>
      <c r="K62">
        <v>27</v>
      </c>
      <c r="L62">
        <v>2030</v>
      </c>
      <c r="M62" t="str">
        <f t="shared" si="0"/>
        <v>ICD / Dry Port</v>
      </c>
      <c r="N62" t="str">
        <f>TEXT(DATE(EXPORT[[#This Row],[Year]], A62, 1), "mmmm")</f>
        <v>March</v>
      </c>
    </row>
    <row r="63" spans="1:14" x14ac:dyDescent="0.3">
      <c r="A63">
        <v>7</v>
      </c>
      <c r="B63">
        <v>2018</v>
      </c>
      <c r="C63" t="s">
        <v>182</v>
      </c>
      <c r="D63">
        <v>11</v>
      </c>
      <c r="E63" t="s">
        <v>183</v>
      </c>
      <c r="F63" t="s">
        <v>90</v>
      </c>
      <c r="G63" t="s">
        <v>65</v>
      </c>
      <c r="H63" t="s">
        <v>66</v>
      </c>
      <c r="I63" t="s">
        <v>17</v>
      </c>
      <c r="J63">
        <v>0</v>
      </c>
      <c r="K63">
        <v>53270</v>
      </c>
      <c r="L63">
        <v>3659312</v>
      </c>
      <c r="M63" t="str">
        <f t="shared" si="0"/>
        <v>Other</v>
      </c>
      <c r="N63" t="str">
        <f>TEXT(DATE(EXPORT[[#This Row],[Year]], A63, 1), "mmmm")</f>
        <v>July</v>
      </c>
    </row>
    <row r="64" spans="1:14" x14ac:dyDescent="0.3">
      <c r="A64">
        <v>6</v>
      </c>
      <c r="B64">
        <v>2023</v>
      </c>
      <c r="C64" t="s">
        <v>58</v>
      </c>
      <c r="D64">
        <v>27</v>
      </c>
      <c r="E64" t="s">
        <v>125</v>
      </c>
      <c r="F64" t="s">
        <v>184</v>
      </c>
      <c r="G64" t="s">
        <v>31</v>
      </c>
      <c r="H64" t="s">
        <v>32</v>
      </c>
      <c r="I64" t="s">
        <v>17</v>
      </c>
      <c r="J64">
        <v>0</v>
      </c>
      <c r="K64">
        <v>16810</v>
      </c>
      <c r="L64">
        <v>1382331</v>
      </c>
      <c r="M64" t="str">
        <f t="shared" si="0"/>
        <v>Air Port</v>
      </c>
      <c r="N64" t="str">
        <f>TEXT(DATE(EXPORT[[#This Row],[Year]], A64, 1), "mmmm")</f>
        <v>June</v>
      </c>
    </row>
    <row r="65" spans="1:14" x14ac:dyDescent="0.3">
      <c r="A65">
        <v>11</v>
      </c>
      <c r="B65">
        <v>2022</v>
      </c>
      <c r="C65" t="s">
        <v>42</v>
      </c>
      <c r="D65">
        <v>33</v>
      </c>
      <c r="E65" t="s">
        <v>111</v>
      </c>
      <c r="F65" t="s">
        <v>185</v>
      </c>
      <c r="G65" t="s">
        <v>127</v>
      </c>
      <c r="H65" t="s">
        <v>128</v>
      </c>
      <c r="I65" t="s">
        <v>17</v>
      </c>
      <c r="J65">
        <v>0</v>
      </c>
      <c r="K65">
        <v>23243</v>
      </c>
      <c r="L65">
        <v>1901513</v>
      </c>
      <c r="M65" t="str">
        <f t="shared" si="0"/>
        <v>Air Port</v>
      </c>
      <c r="N65" t="str">
        <f>TEXT(DATE(EXPORT[[#This Row],[Year]], A65, 1), "mmmm")</f>
        <v>November</v>
      </c>
    </row>
    <row r="66" spans="1:14" x14ac:dyDescent="0.3">
      <c r="A66">
        <v>1</v>
      </c>
      <c r="B66">
        <v>2018</v>
      </c>
      <c r="C66" t="s">
        <v>23</v>
      </c>
      <c r="D66">
        <v>24</v>
      </c>
      <c r="E66" t="s">
        <v>24</v>
      </c>
      <c r="F66" t="s">
        <v>186</v>
      </c>
      <c r="G66" t="s">
        <v>187</v>
      </c>
      <c r="H66" t="s">
        <v>188</v>
      </c>
      <c r="I66" t="s">
        <v>17</v>
      </c>
      <c r="J66">
        <v>0</v>
      </c>
      <c r="K66">
        <v>26585</v>
      </c>
      <c r="L66">
        <v>1691792</v>
      </c>
      <c r="M66" t="str">
        <f t="shared" ref="M66:M129" si="1">IF(OR(ISNUMBER(SEARCH("ICD",E66)),ISNUMBER(SEARCH("Dry Port",E66))),"ICD / Dry Port", IF(OR(ISNUMBER(SEARCH("Sea",E66)),ISNUMBER(SEARCH("Port",E66))),"Sea Port", IF(OR(ISNUMBER(SEARCH("Air",E66)),ISNUMBER(SEARCH("Airport",E66))),"Air Port", IF(ISNUMBER(SEARCH("CFS",E66)),"CFS", IF(OR(ISNUMBER(SEARCH("SEZ",E66)),ISNUMBER(SEARCH("EPZ",E66)),ISNUMBER(SEARCH("FTWZ",E66)),ISNUMBER(SEARCH("City",E66)),ISNUMBER(SEARCH("Park",E66))),"SEZ / Industrial Zone", IF(OR(ISNUMBER(SEARCH("Land",E66)),ISNUMBER(SEARCH("LCS",E66)),ISNUMBER(SEARCH("Rly",E66))),"Land Port", "Other"))))))</f>
        <v>Other</v>
      </c>
      <c r="N66" t="str">
        <f>TEXT(DATE(EXPORT[[#This Row],[Year]], A66, 1), "mmmm")</f>
        <v>January</v>
      </c>
    </row>
    <row r="67" spans="1:14" x14ac:dyDescent="0.3">
      <c r="A67">
        <v>2</v>
      </c>
      <c r="B67">
        <v>2020</v>
      </c>
      <c r="C67" t="s">
        <v>79</v>
      </c>
      <c r="D67">
        <v>9</v>
      </c>
      <c r="E67" t="s">
        <v>189</v>
      </c>
      <c r="F67" t="s">
        <v>190</v>
      </c>
      <c r="G67" t="s">
        <v>121</v>
      </c>
      <c r="H67" t="s">
        <v>122</v>
      </c>
      <c r="I67" t="s">
        <v>17</v>
      </c>
      <c r="J67">
        <v>0</v>
      </c>
      <c r="K67">
        <v>1074661</v>
      </c>
      <c r="L67">
        <v>76825926</v>
      </c>
      <c r="M67" t="str">
        <f t="shared" si="1"/>
        <v>Other</v>
      </c>
      <c r="N67" t="str">
        <f>TEXT(DATE(EXPORT[[#This Row],[Year]], A67, 1), "mmmm")</f>
        <v>February</v>
      </c>
    </row>
    <row r="68" spans="1:14" x14ac:dyDescent="0.3">
      <c r="A68">
        <v>9</v>
      </c>
      <c r="B68">
        <v>2020</v>
      </c>
      <c r="C68" t="s">
        <v>23</v>
      </c>
      <c r="D68">
        <v>24</v>
      </c>
      <c r="E68" t="s">
        <v>24</v>
      </c>
      <c r="F68" t="s">
        <v>191</v>
      </c>
      <c r="G68" t="s">
        <v>49</v>
      </c>
      <c r="H68" t="s">
        <v>50</v>
      </c>
      <c r="I68" t="s">
        <v>17</v>
      </c>
      <c r="J68">
        <v>0</v>
      </c>
      <c r="K68">
        <v>310327</v>
      </c>
      <c r="L68">
        <v>22803379</v>
      </c>
      <c r="M68" t="str">
        <f t="shared" si="1"/>
        <v>Other</v>
      </c>
      <c r="N68" t="str">
        <f>TEXT(DATE(EXPORT[[#This Row],[Year]], A68, 1), "mmmm")</f>
        <v>September</v>
      </c>
    </row>
    <row r="69" spans="1:14" x14ac:dyDescent="0.3">
      <c r="A69">
        <v>4</v>
      </c>
      <c r="B69">
        <v>2023</v>
      </c>
      <c r="C69" t="s">
        <v>79</v>
      </c>
      <c r="D69">
        <v>9</v>
      </c>
      <c r="E69" t="s">
        <v>189</v>
      </c>
      <c r="F69" t="s">
        <v>44</v>
      </c>
      <c r="G69" t="s">
        <v>95</v>
      </c>
      <c r="H69" t="s">
        <v>96</v>
      </c>
      <c r="I69" t="s">
        <v>17</v>
      </c>
      <c r="J69">
        <v>0</v>
      </c>
      <c r="K69">
        <v>801</v>
      </c>
      <c r="L69">
        <v>65730</v>
      </c>
      <c r="M69" t="str">
        <f t="shared" si="1"/>
        <v>Other</v>
      </c>
      <c r="N69" t="str">
        <f>TEXT(DATE(EXPORT[[#This Row],[Year]], A69, 1), "mmmm")</f>
        <v>April</v>
      </c>
    </row>
    <row r="70" spans="1:14" x14ac:dyDescent="0.3">
      <c r="A70">
        <v>8</v>
      </c>
      <c r="B70">
        <v>2023</v>
      </c>
      <c r="C70" t="s">
        <v>42</v>
      </c>
      <c r="D70">
        <v>33</v>
      </c>
      <c r="E70" t="s">
        <v>192</v>
      </c>
      <c r="F70" t="s">
        <v>193</v>
      </c>
      <c r="G70" t="s">
        <v>116</v>
      </c>
      <c r="H70" t="s">
        <v>117</v>
      </c>
      <c r="I70" t="s">
        <v>17</v>
      </c>
      <c r="J70">
        <v>0</v>
      </c>
      <c r="K70">
        <v>419</v>
      </c>
      <c r="L70">
        <v>34690</v>
      </c>
      <c r="M70" t="str">
        <f t="shared" si="1"/>
        <v>Other</v>
      </c>
      <c r="N70" t="str">
        <f>TEXT(DATE(EXPORT[[#This Row],[Year]], A70, 1), "mmmm")</f>
        <v>August</v>
      </c>
    </row>
    <row r="71" spans="1:14" x14ac:dyDescent="0.3">
      <c r="A71">
        <v>10</v>
      </c>
      <c r="B71">
        <v>2018</v>
      </c>
      <c r="C71" t="s">
        <v>47</v>
      </c>
      <c r="D71">
        <v>7</v>
      </c>
      <c r="E71" t="s">
        <v>48</v>
      </c>
      <c r="F71" t="s">
        <v>68</v>
      </c>
      <c r="G71" t="s">
        <v>40</v>
      </c>
      <c r="H71" t="s">
        <v>41</v>
      </c>
      <c r="I71" t="s">
        <v>17</v>
      </c>
      <c r="J71">
        <v>0</v>
      </c>
      <c r="K71">
        <v>214</v>
      </c>
      <c r="L71">
        <v>15772</v>
      </c>
      <c r="M71" t="str">
        <f t="shared" si="1"/>
        <v>Air Port</v>
      </c>
      <c r="N71" t="str">
        <f>TEXT(DATE(EXPORT[[#This Row],[Year]], A71, 1), "mmmm")</f>
        <v>October</v>
      </c>
    </row>
    <row r="72" spans="1:14" x14ac:dyDescent="0.3">
      <c r="A72">
        <v>12</v>
      </c>
      <c r="B72">
        <v>2022</v>
      </c>
      <c r="C72" t="s">
        <v>58</v>
      </c>
      <c r="D72">
        <v>27</v>
      </c>
      <c r="E72" t="s">
        <v>59</v>
      </c>
      <c r="F72" t="s">
        <v>194</v>
      </c>
      <c r="G72" t="s">
        <v>195</v>
      </c>
      <c r="H72" t="s">
        <v>196</v>
      </c>
      <c r="I72" t="s">
        <v>17</v>
      </c>
      <c r="J72">
        <v>0</v>
      </c>
      <c r="K72">
        <v>103806</v>
      </c>
      <c r="L72">
        <v>8560276</v>
      </c>
      <c r="M72" t="str">
        <f t="shared" si="1"/>
        <v>Sea Port</v>
      </c>
      <c r="N72" t="str">
        <f>TEXT(DATE(EXPORT[[#This Row],[Year]], A72, 1), "mmmm")</f>
        <v>December</v>
      </c>
    </row>
    <row r="73" spans="1:14" x14ac:dyDescent="0.3">
      <c r="A73">
        <v>1</v>
      </c>
      <c r="B73">
        <v>2019</v>
      </c>
      <c r="C73" t="s">
        <v>47</v>
      </c>
      <c r="D73">
        <v>7</v>
      </c>
      <c r="E73" t="s">
        <v>48</v>
      </c>
      <c r="F73" t="s">
        <v>167</v>
      </c>
      <c r="G73" t="s">
        <v>187</v>
      </c>
      <c r="H73" t="s">
        <v>188</v>
      </c>
      <c r="I73" t="s">
        <v>17</v>
      </c>
      <c r="J73">
        <v>0</v>
      </c>
      <c r="K73">
        <v>3</v>
      </c>
      <c r="L73">
        <v>209</v>
      </c>
      <c r="M73" t="str">
        <f t="shared" si="1"/>
        <v>Air Port</v>
      </c>
      <c r="N73" t="str">
        <f>TEXT(DATE(EXPORT[[#This Row],[Year]], A73, 1), "mmmm")</f>
        <v>January</v>
      </c>
    </row>
    <row r="74" spans="1:14" x14ac:dyDescent="0.3">
      <c r="A74">
        <v>12</v>
      </c>
      <c r="B74">
        <v>2022</v>
      </c>
      <c r="C74" t="s">
        <v>58</v>
      </c>
      <c r="D74">
        <v>27</v>
      </c>
      <c r="E74" t="s">
        <v>59</v>
      </c>
      <c r="F74" t="s">
        <v>197</v>
      </c>
      <c r="G74" t="s">
        <v>157</v>
      </c>
      <c r="H74" t="s">
        <v>158</v>
      </c>
      <c r="I74" t="s">
        <v>17</v>
      </c>
      <c r="J74">
        <v>0</v>
      </c>
      <c r="K74">
        <v>3371</v>
      </c>
      <c r="L74">
        <v>277983</v>
      </c>
      <c r="M74" t="str">
        <f t="shared" si="1"/>
        <v>Sea Port</v>
      </c>
      <c r="N74" t="str">
        <f>TEXT(DATE(EXPORT[[#This Row],[Year]], A74, 1), "mmmm")</f>
        <v>December</v>
      </c>
    </row>
    <row r="75" spans="1:14" x14ac:dyDescent="0.3">
      <c r="A75">
        <v>1</v>
      </c>
      <c r="B75">
        <v>2022</v>
      </c>
      <c r="C75" t="s">
        <v>47</v>
      </c>
      <c r="D75">
        <v>7</v>
      </c>
      <c r="E75" t="s">
        <v>51</v>
      </c>
      <c r="F75" t="s">
        <v>20</v>
      </c>
      <c r="G75" t="s">
        <v>49</v>
      </c>
      <c r="H75" t="s">
        <v>50</v>
      </c>
      <c r="I75" t="s">
        <v>17</v>
      </c>
      <c r="J75">
        <v>0</v>
      </c>
      <c r="K75">
        <v>34458</v>
      </c>
      <c r="L75">
        <v>2565106</v>
      </c>
      <c r="M75" t="str">
        <f t="shared" si="1"/>
        <v>ICD / Dry Port</v>
      </c>
      <c r="N75" t="str">
        <f>TEXT(DATE(EXPORT[[#This Row],[Year]], A75, 1), "mmmm")</f>
        <v>January</v>
      </c>
    </row>
    <row r="76" spans="1:14" x14ac:dyDescent="0.3">
      <c r="A76">
        <v>3</v>
      </c>
      <c r="B76">
        <v>2018</v>
      </c>
      <c r="C76" t="s">
        <v>47</v>
      </c>
      <c r="D76">
        <v>7</v>
      </c>
      <c r="E76" t="s">
        <v>51</v>
      </c>
      <c r="F76" t="s">
        <v>198</v>
      </c>
      <c r="G76" t="s">
        <v>168</v>
      </c>
      <c r="H76" t="s">
        <v>169</v>
      </c>
      <c r="I76" t="s">
        <v>17</v>
      </c>
      <c r="J76">
        <v>0</v>
      </c>
      <c r="K76">
        <v>4422</v>
      </c>
      <c r="L76">
        <v>287536</v>
      </c>
      <c r="M76" t="str">
        <f t="shared" si="1"/>
        <v>ICD / Dry Port</v>
      </c>
      <c r="N76" t="str">
        <f>TEXT(DATE(EXPORT[[#This Row],[Year]], A76, 1), "mmmm")</f>
        <v>March</v>
      </c>
    </row>
    <row r="77" spans="1:14" x14ac:dyDescent="0.3">
      <c r="A77">
        <v>4</v>
      </c>
      <c r="B77">
        <v>2023</v>
      </c>
      <c r="C77" t="s">
        <v>23</v>
      </c>
      <c r="D77">
        <v>24</v>
      </c>
      <c r="E77" t="s">
        <v>199</v>
      </c>
      <c r="F77" t="s">
        <v>153</v>
      </c>
      <c r="G77" t="s">
        <v>26</v>
      </c>
      <c r="H77" t="s">
        <v>27</v>
      </c>
      <c r="I77" t="s">
        <v>17</v>
      </c>
      <c r="J77">
        <v>0</v>
      </c>
      <c r="K77">
        <v>158980</v>
      </c>
      <c r="L77">
        <v>13039676</v>
      </c>
      <c r="M77" t="str">
        <f t="shared" si="1"/>
        <v>SEZ / Industrial Zone</v>
      </c>
      <c r="N77" t="str">
        <f>TEXT(DATE(EXPORT[[#This Row],[Year]], A77, 1), "mmmm")</f>
        <v>April</v>
      </c>
    </row>
    <row r="78" spans="1:14" x14ac:dyDescent="0.3">
      <c r="A78">
        <v>9</v>
      </c>
      <c r="B78">
        <v>2020</v>
      </c>
      <c r="C78" t="s">
        <v>73</v>
      </c>
      <c r="D78">
        <v>3</v>
      </c>
      <c r="E78" t="s">
        <v>74</v>
      </c>
      <c r="F78" t="s">
        <v>200</v>
      </c>
      <c r="G78" t="s">
        <v>15</v>
      </c>
      <c r="H78" t="s">
        <v>16</v>
      </c>
      <c r="I78" t="s">
        <v>17</v>
      </c>
      <c r="J78">
        <v>0</v>
      </c>
      <c r="K78">
        <v>11</v>
      </c>
      <c r="L78">
        <v>787</v>
      </c>
      <c r="M78" t="str">
        <f t="shared" si="1"/>
        <v>ICD / Dry Port</v>
      </c>
      <c r="N78" t="str">
        <f>TEXT(DATE(EXPORT[[#This Row],[Year]], A78, 1), "mmmm")</f>
        <v>September</v>
      </c>
    </row>
    <row r="79" spans="1:14" x14ac:dyDescent="0.3">
      <c r="A79">
        <v>3</v>
      </c>
      <c r="B79">
        <v>2020</v>
      </c>
      <c r="C79" t="s">
        <v>28</v>
      </c>
      <c r="D79">
        <v>29</v>
      </c>
      <c r="E79" t="s">
        <v>201</v>
      </c>
      <c r="F79" t="s">
        <v>145</v>
      </c>
      <c r="G79" t="s">
        <v>612</v>
      </c>
      <c r="H79" t="s">
        <v>62</v>
      </c>
      <c r="I79" t="s">
        <v>17</v>
      </c>
      <c r="J79">
        <v>0</v>
      </c>
      <c r="K79">
        <v>36801</v>
      </c>
      <c r="L79">
        <v>2736169</v>
      </c>
      <c r="M79" t="str">
        <f t="shared" si="1"/>
        <v>SEZ / Industrial Zone</v>
      </c>
      <c r="N79" t="str">
        <f>TEXT(DATE(EXPORT[[#This Row],[Year]], A79, 1), "mmmm")</f>
        <v>March</v>
      </c>
    </row>
    <row r="80" spans="1:14" x14ac:dyDescent="0.3">
      <c r="A80">
        <v>2</v>
      </c>
      <c r="B80">
        <v>2020</v>
      </c>
      <c r="C80" t="s">
        <v>58</v>
      </c>
      <c r="D80">
        <v>27</v>
      </c>
      <c r="E80" t="s">
        <v>125</v>
      </c>
      <c r="F80" t="s">
        <v>90</v>
      </c>
      <c r="G80" t="s">
        <v>202</v>
      </c>
      <c r="H80" t="s">
        <v>203</v>
      </c>
      <c r="I80" t="s">
        <v>17</v>
      </c>
      <c r="J80">
        <v>0</v>
      </c>
      <c r="K80">
        <v>6104</v>
      </c>
      <c r="L80">
        <v>436343</v>
      </c>
      <c r="M80" t="str">
        <f t="shared" si="1"/>
        <v>Air Port</v>
      </c>
      <c r="N80" t="str">
        <f>TEXT(DATE(EXPORT[[#This Row],[Year]], A80, 1), "mmmm")</f>
        <v>February</v>
      </c>
    </row>
    <row r="81" spans="1:14" x14ac:dyDescent="0.3">
      <c r="A81">
        <v>5</v>
      </c>
      <c r="B81">
        <v>2018</v>
      </c>
      <c r="C81" t="s">
        <v>42</v>
      </c>
      <c r="D81">
        <v>33</v>
      </c>
      <c r="E81" t="s">
        <v>204</v>
      </c>
      <c r="F81" t="s">
        <v>205</v>
      </c>
      <c r="G81" t="s">
        <v>206</v>
      </c>
      <c r="H81" t="s">
        <v>207</v>
      </c>
      <c r="I81" t="s">
        <v>17</v>
      </c>
      <c r="J81">
        <v>0</v>
      </c>
      <c r="K81">
        <v>4957</v>
      </c>
      <c r="L81">
        <v>334813</v>
      </c>
      <c r="M81" t="str">
        <f t="shared" si="1"/>
        <v>ICD / Dry Port</v>
      </c>
      <c r="N81" t="str">
        <f>TEXT(DATE(EXPORT[[#This Row],[Year]], A81, 1), "mmmm")</f>
        <v>May</v>
      </c>
    </row>
    <row r="82" spans="1:14" x14ac:dyDescent="0.3">
      <c r="A82">
        <v>6</v>
      </c>
      <c r="B82">
        <v>2023</v>
      </c>
      <c r="C82" t="s">
        <v>23</v>
      </c>
      <c r="D82">
        <v>24</v>
      </c>
      <c r="E82" t="s">
        <v>24</v>
      </c>
      <c r="F82" t="s">
        <v>208</v>
      </c>
      <c r="G82" t="s">
        <v>150</v>
      </c>
      <c r="H82" t="s">
        <v>151</v>
      </c>
      <c r="I82" t="s">
        <v>17</v>
      </c>
      <c r="J82">
        <v>0</v>
      </c>
      <c r="K82">
        <v>3143</v>
      </c>
      <c r="L82">
        <v>258436</v>
      </c>
      <c r="M82" t="str">
        <f t="shared" si="1"/>
        <v>Other</v>
      </c>
      <c r="N82" t="str">
        <f>TEXT(DATE(EXPORT[[#This Row],[Year]], A82, 1), "mmmm")</f>
        <v>June</v>
      </c>
    </row>
    <row r="83" spans="1:14" x14ac:dyDescent="0.3">
      <c r="A83">
        <v>9</v>
      </c>
      <c r="B83">
        <v>2019</v>
      </c>
      <c r="C83" t="s">
        <v>132</v>
      </c>
      <c r="D83">
        <v>19</v>
      </c>
      <c r="E83" t="s">
        <v>209</v>
      </c>
      <c r="F83" t="s">
        <v>210</v>
      </c>
      <c r="G83" t="s">
        <v>211</v>
      </c>
      <c r="H83" t="s">
        <v>212</v>
      </c>
      <c r="I83" t="s">
        <v>17</v>
      </c>
      <c r="J83">
        <v>0</v>
      </c>
      <c r="K83">
        <v>43852</v>
      </c>
      <c r="L83">
        <v>3128129</v>
      </c>
      <c r="M83" t="str">
        <f t="shared" si="1"/>
        <v>Sea Port</v>
      </c>
      <c r="N83" t="str">
        <f>TEXT(DATE(EXPORT[[#This Row],[Year]], A83, 1), "mmmm")</f>
        <v>September</v>
      </c>
    </row>
    <row r="84" spans="1:14" x14ac:dyDescent="0.3">
      <c r="A84">
        <v>6</v>
      </c>
      <c r="B84">
        <v>2019</v>
      </c>
      <c r="C84" t="s">
        <v>79</v>
      </c>
      <c r="D84">
        <v>9</v>
      </c>
      <c r="E84" t="s">
        <v>213</v>
      </c>
      <c r="F84" t="s">
        <v>89</v>
      </c>
      <c r="G84" t="s">
        <v>56</v>
      </c>
      <c r="H84" t="s">
        <v>57</v>
      </c>
      <c r="I84" t="s">
        <v>17</v>
      </c>
      <c r="J84">
        <v>0</v>
      </c>
      <c r="K84">
        <v>3025</v>
      </c>
      <c r="L84">
        <v>210057</v>
      </c>
      <c r="M84" t="str">
        <f t="shared" si="1"/>
        <v>SEZ / Industrial Zone</v>
      </c>
      <c r="N84" t="str">
        <f>TEXT(DATE(EXPORT[[#This Row],[Year]], A84, 1), "mmmm")</f>
        <v>June</v>
      </c>
    </row>
    <row r="85" spans="1:14" x14ac:dyDescent="0.3">
      <c r="A85">
        <v>11</v>
      </c>
      <c r="B85">
        <v>2020</v>
      </c>
      <c r="C85" t="s">
        <v>33</v>
      </c>
      <c r="D85">
        <v>32</v>
      </c>
      <c r="E85" t="s">
        <v>214</v>
      </c>
      <c r="F85" t="s">
        <v>215</v>
      </c>
      <c r="G85" t="s">
        <v>45</v>
      </c>
      <c r="H85" t="s">
        <v>46</v>
      </c>
      <c r="I85" t="s">
        <v>17</v>
      </c>
      <c r="J85">
        <v>0</v>
      </c>
      <c r="K85">
        <v>3548</v>
      </c>
      <c r="L85">
        <v>263307</v>
      </c>
      <c r="M85" t="str">
        <f t="shared" si="1"/>
        <v>Sea Port</v>
      </c>
      <c r="N85" t="str">
        <f>TEXT(DATE(EXPORT[[#This Row],[Year]], A85, 1), "mmmm")</f>
        <v>November</v>
      </c>
    </row>
    <row r="86" spans="1:14" x14ac:dyDescent="0.3">
      <c r="A86">
        <v>7</v>
      </c>
      <c r="B86">
        <v>2022</v>
      </c>
      <c r="C86" t="s">
        <v>23</v>
      </c>
      <c r="D86">
        <v>24</v>
      </c>
      <c r="E86" t="s">
        <v>24</v>
      </c>
      <c r="F86" t="s">
        <v>180</v>
      </c>
      <c r="G86" t="s">
        <v>49</v>
      </c>
      <c r="H86" t="s">
        <v>50</v>
      </c>
      <c r="I86" t="s">
        <v>17</v>
      </c>
      <c r="J86">
        <v>0</v>
      </c>
      <c r="K86">
        <v>90758</v>
      </c>
      <c r="L86">
        <v>7224462</v>
      </c>
      <c r="M86" t="str">
        <f t="shared" si="1"/>
        <v>Other</v>
      </c>
      <c r="N86" t="str">
        <f>TEXT(DATE(EXPORT[[#This Row],[Year]], A86, 1), "mmmm")</f>
        <v>July</v>
      </c>
    </row>
    <row r="87" spans="1:14" x14ac:dyDescent="0.3">
      <c r="A87">
        <v>8</v>
      </c>
      <c r="B87">
        <v>2018</v>
      </c>
      <c r="C87" t="s">
        <v>58</v>
      </c>
      <c r="D87">
        <v>27</v>
      </c>
      <c r="E87" t="s">
        <v>216</v>
      </c>
      <c r="F87" t="s">
        <v>118</v>
      </c>
      <c r="G87" t="s">
        <v>26</v>
      </c>
      <c r="H87" t="s">
        <v>27</v>
      </c>
      <c r="I87" t="s">
        <v>17</v>
      </c>
      <c r="J87">
        <v>0</v>
      </c>
      <c r="K87">
        <v>9805</v>
      </c>
      <c r="L87">
        <v>681900</v>
      </c>
      <c r="M87" t="str">
        <f t="shared" si="1"/>
        <v>Other</v>
      </c>
      <c r="N87" t="str">
        <f>TEXT(DATE(EXPORT[[#This Row],[Year]], A87, 1), "mmmm")</f>
        <v>August</v>
      </c>
    </row>
    <row r="88" spans="1:14" x14ac:dyDescent="0.3">
      <c r="A88">
        <v>8</v>
      </c>
      <c r="B88">
        <v>2021</v>
      </c>
      <c r="C88" t="s">
        <v>58</v>
      </c>
      <c r="D88">
        <v>27</v>
      </c>
      <c r="E88" t="s">
        <v>59</v>
      </c>
      <c r="F88" t="s">
        <v>217</v>
      </c>
      <c r="G88" t="s">
        <v>52</v>
      </c>
      <c r="H88" t="s">
        <v>53</v>
      </c>
      <c r="I88" t="s">
        <v>17</v>
      </c>
      <c r="J88">
        <v>0</v>
      </c>
      <c r="K88">
        <v>526319</v>
      </c>
      <c r="L88">
        <v>39044761</v>
      </c>
      <c r="M88" t="str">
        <f t="shared" si="1"/>
        <v>Sea Port</v>
      </c>
      <c r="N88" t="str">
        <f>TEXT(DATE(EXPORT[[#This Row],[Year]], A88, 1), "mmmm")</f>
        <v>August</v>
      </c>
    </row>
    <row r="89" spans="1:14" x14ac:dyDescent="0.3">
      <c r="A89">
        <v>7</v>
      </c>
      <c r="B89">
        <v>2019</v>
      </c>
      <c r="C89" t="s">
        <v>23</v>
      </c>
      <c r="D89">
        <v>24</v>
      </c>
      <c r="E89" t="s">
        <v>218</v>
      </c>
      <c r="F89" t="s">
        <v>219</v>
      </c>
      <c r="G89" t="s">
        <v>146</v>
      </c>
      <c r="H89" t="s">
        <v>147</v>
      </c>
      <c r="I89" t="s">
        <v>17</v>
      </c>
      <c r="J89">
        <v>0</v>
      </c>
      <c r="K89">
        <v>440</v>
      </c>
      <c r="L89">
        <v>30275</v>
      </c>
      <c r="M89" t="str">
        <f t="shared" si="1"/>
        <v>Air Port</v>
      </c>
      <c r="N89" t="str">
        <f>TEXT(DATE(EXPORT[[#This Row],[Year]], A89, 1), "mmmm")</f>
        <v>July</v>
      </c>
    </row>
    <row r="90" spans="1:14" x14ac:dyDescent="0.3">
      <c r="A90">
        <v>7</v>
      </c>
      <c r="B90">
        <v>2023</v>
      </c>
      <c r="C90" t="s">
        <v>12</v>
      </c>
      <c r="D90">
        <v>8</v>
      </c>
      <c r="E90" t="s">
        <v>165</v>
      </c>
      <c r="F90" t="s">
        <v>220</v>
      </c>
      <c r="G90" t="s">
        <v>116</v>
      </c>
      <c r="H90" t="s">
        <v>117</v>
      </c>
      <c r="I90" t="s">
        <v>17</v>
      </c>
      <c r="J90">
        <v>0</v>
      </c>
      <c r="K90">
        <v>52241</v>
      </c>
      <c r="L90">
        <v>4291733</v>
      </c>
      <c r="M90" t="str">
        <f t="shared" si="1"/>
        <v>ICD / Dry Port</v>
      </c>
      <c r="N90" t="str">
        <f>TEXT(DATE(EXPORT[[#This Row],[Year]], A90, 1), "mmmm")</f>
        <v>July</v>
      </c>
    </row>
    <row r="91" spans="1:14" x14ac:dyDescent="0.3">
      <c r="A91">
        <v>1</v>
      </c>
      <c r="B91">
        <v>2019</v>
      </c>
      <c r="C91" t="s">
        <v>58</v>
      </c>
      <c r="D91">
        <v>27</v>
      </c>
      <c r="E91" t="s">
        <v>125</v>
      </c>
      <c r="F91" t="s">
        <v>217</v>
      </c>
      <c r="G91" t="s">
        <v>195</v>
      </c>
      <c r="H91" t="s">
        <v>196</v>
      </c>
      <c r="I91" t="s">
        <v>17</v>
      </c>
      <c r="J91">
        <v>0</v>
      </c>
      <c r="K91">
        <v>7523</v>
      </c>
      <c r="L91">
        <v>532142</v>
      </c>
      <c r="M91" t="str">
        <f t="shared" si="1"/>
        <v>Air Port</v>
      </c>
      <c r="N91" t="str">
        <f>TEXT(DATE(EXPORT[[#This Row],[Year]], A91, 1), "mmmm")</f>
        <v>January</v>
      </c>
    </row>
    <row r="92" spans="1:14" x14ac:dyDescent="0.3">
      <c r="A92">
        <v>12</v>
      </c>
      <c r="B92">
        <v>2022</v>
      </c>
      <c r="C92" t="s">
        <v>73</v>
      </c>
      <c r="D92">
        <v>3</v>
      </c>
      <c r="E92" t="s">
        <v>221</v>
      </c>
      <c r="F92" t="s">
        <v>222</v>
      </c>
      <c r="G92" t="s">
        <v>77</v>
      </c>
      <c r="H92" t="s">
        <v>78</v>
      </c>
      <c r="I92" t="s">
        <v>17</v>
      </c>
      <c r="J92">
        <v>0</v>
      </c>
      <c r="K92">
        <v>48124</v>
      </c>
      <c r="L92">
        <v>3968516</v>
      </c>
      <c r="M92" t="str">
        <f t="shared" si="1"/>
        <v>ICD / Dry Port</v>
      </c>
      <c r="N92" t="str">
        <f>TEXT(DATE(EXPORT[[#This Row],[Year]], A92, 1), "mmmm")</f>
        <v>December</v>
      </c>
    </row>
    <row r="93" spans="1:14" x14ac:dyDescent="0.3">
      <c r="A93">
        <v>6</v>
      </c>
      <c r="B93">
        <v>2023</v>
      </c>
      <c r="C93" t="s">
        <v>42</v>
      </c>
      <c r="D93">
        <v>33</v>
      </c>
      <c r="E93" t="s">
        <v>223</v>
      </c>
      <c r="F93" t="s">
        <v>35</v>
      </c>
      <c r="G93" t="s">
        <v>21</v>
      </c>
      <c r="H93" t="s">
        <v>22</v>
      </c>
      <c r="I93" t="s">
        <v>17</v>
      </c>
      <c r="J93">
        <v>0</v>
      </c>
      <c r="K93">
        <v>10474496</v>
      </c>
      <c r="L93">
        <v>861356589</v>
      </c>
      <c r="M93" t="str">
        <f t="shared" si="1"/>
        <v>Sea Port</v>
      </c>
      <c r="N93" t="str">
        <f>TEXT(DATE(EXPORT[[#This Row],[Year]], A93, 1), "mmmm")</f>
        <v>June</v>
      </c>
    </row>
    <row r="94" spans="1:14" x14ac:dyDescent="0.3">
      <c r="A94">
        <v>5</v>
      </c>
      <c r="B94">
        <v>2022</v>
      </c>
      <c r="C94" t="s">
        <v>132</v>
      </c>
      <c r="D94">
        <v>19</v>
      </c>
      <c r="E94" t="s">
        <v>209</v>
      </c>
      <c r="F94" t="s">
        <v>224</v>
      </c>
      <c r="G94" t="s">
        <v>143</v>
      </c>
      <c r="H94" t="s">
        <v>144</v>
      </c>
      <c r="I94" t="s">
        <v>17</v>
      </c>
      <c r="J94">
        <v>0</v>
      </c>
      <c r="K94">
        <v>886</v>
      </c>
      <c r="L94">
        <v>68531</v>
      </c>
      <c r="M94" t="str">
        <f t="shared" si="1"/>
        <v>Sea Port</v>
      </c>
      <c r="N94" t="str">
        <f>TEXT(DATE(EXPORT[[#This Row],[Year]], A94, 1), "mmmm")</f>
        <v>May</v>
      </c>
    </row>
    <row r="95" spans="1:14" x14ac:dyDescent="0.3">
      <c r="A95">
        <v>1</v>
      </c>
      <c r="B95">
        <v>2019</v>
      </c>
      <c r="C95" t="s">
        <v>42</v>
      </c>
      <c r="D95">
        <v>33</v>
      </c>
      <c r="E95" t="s">
        <v>111</v>
      </c>
      <c r="F95" t="s">
        <v>225</v>
      </c>
      <c r="G95" t="s">
        <v>121</v>
      </c>
      <c r="H95" t="s">
        <v>122</v>
      </c>
      <c r="I95" t="s">
        <v>17</v>
      </c>
      <c r="J95">
        <v>0</v>
      </c>
      <c r="K95">
        <v>15</v>
      </c>
      <c r="L95">
        <v>1052</v>
      </c>
      <c r="M95" t="str">
        <f t="shared" si="1"/>
        <v>Air Port</v>
      </c>
      <c r="N95" t="str">
        <f>TEXT(DATE(EXPORT[[#This Row],[Year]], A95, 1), "mmmm")</f>
        <v>January</v>
      </c>
    </row>
    <row r="96" spans="1:14" x14ac:dyDescent="0.3">
      <c r="A96">
        <v>7</v>
      </c>
      <c r="B96">
        <v>2018</v>
      </c>
      <c r="C96" t="s">
        <v>58</v>
      </c>
      <c r="D96">
        <v>27</v>
      </c>
      <c r="E96" t="s">
        <v>125</v>
      </c>
      <c r="F96" t="s">
        <v>76</v>
      </c>
      <c r="G96" t="s">
        <v>612</v>
      </c>
      <c r="H96" t="s">
        <v>62</v>
      </c>
      <c r="I96" t="s">
        <v>17</v>
      </c>
      <c r="J96">
        <v>0</v>
      </c>
      <c r="K96">
        <v>7596</v>
      </c>
      <c r="L96">
        <v>521771</v>
      </c>
      <c r="M96" t="str">
        <f t="shared" si="1"/>
        <v>Air Port</v>
      </c>
      <c r="N96" t="str">
        <f>TEXT(DATE(EXPORT[[#This Row],[Year]], A96, 1), "mmmm")</f>
        <v>July</v>
      </c>
    </row>
    <row r="97" spans="1:14" x14ac:dyDescent="0.3">
      <c r="A97">
        <v>8</v>
      </c>
      <c r="B97">
        <v>2020</v>
      </c>
      <c r="C97" t="s">
        <v>42</v>
      </c>
      <c r="D97">
        <v>33</v>
      </c>
      <c r="E97" t="s">
        <v>43</v>
      </c>
      <c r="F97" t="s">
        <v>70</v>
      </c>
      <c r="G97" t="s">
        <v>168</v>
      </c>
      <c r="H97" t="s">
        <v>169</v>
      </c>
      <c r="I97" t="s">
        <v>17</v>
      </c>
      <c r="J97">
        <v>0</v>
      </c>
      <c r="K97">
        <v>318</v>
      </c>
      <c r="L97">
        <v>23722</v>
      </c>
      <c r="M97" t="str">
        <f t="shared" si="1"/>
        <v>Sea Port</v>
      </c>
      <c r="N97" t="str">
        <f>TEXT(DATE(EXPORT[[#This Row],[Year]], A97, 1), "mmmm")</f>
        <v>August</v>
      </c>
    </row>
    <row r="98" spans="1:14" x14ac:dyDescent="0.3">
      <c r="A98">
        <v>9</v>
      </c>
      <c r="B98">
        <v>2022</v>
      </c>
      <c r="C98" t="s">
        <v>18</v>
      </c>
      <c r="D98">
        <v>6</v>
      </c>
      <c r="E98" t="s">
        <v>226</v>
      </c>
      <c r="F98" t="s">
        <v>20</v>
      </c>
      <c r="G98" t="s">
        <v>227</v>
      </c>
      <c r="H98" t="s">
        <v>228</v>
      </c>
      <c r="I98" t="s">
        <v>17</v>
      </c>
      <c r="J98">
        <v>0</v>
      </c>
      <c r="K98">
        <v>2309</v>
      </c>
      <c r="L98">
        <v>185220</v>
      </c>
      <c r="M98" t="str">
        <f t="shared" si="1"/>
        <v>Other</v>
      </c>
      <c r="N98" t="str">
        <f>TEXT(DATE(EXPORT[[#This Row],[Year]], A98, 1), "mmmm")</f>
        <v>September</v>
      </c>
    </row>
    <row r="99" spans="1:14" x14ac:dyDescent="0.3">
      <c r="A99">
        <v>1</v>
      </c>
      <c r="B99">
        <v>2023</v>
      </c>
      <c r="C99" t="s">
        <v>42</v>
      </c>
      <c r="D99">
        <v>33</v>
      </c>
      <c r="E99" t="s">
        <v>111</v>
      </c>
      <c r="F99" t="s">
        <v>229</v>
      </c>
      <c r="G99" t="s">
        <v>92</v>
      </c>
      <c r="H99" t="s">
        <v>93</v>
      </c>
      <c r="I99" t="s">
        <v>17</v>
      </c>
      <c r="J99">
        <v>0</v>
      </c>
      <c r="K99">
        <v>3962</v>
      </c>
      <c r="L99">
        <v>324522</v>
      </c>
      <c r="M99" t="str">
        <f t="shared" si="1"/>
        <v>Air Port</v>
      </c>
      <c r="N99" t="str">
        <f>TEXT(DATE(EXPORT[[#This Row],[Year]], A99, 1), "mmmm")</f>
        <v>January</v>
      </c>
    </row>
    <row r="100" spans="1:14" x14ac:dyDescent="0.3">
      <c r="A100">
        <v>4</v>
      </c>
      <c r="B100">
        <v>2021</v>
      </c>
      <c r="C100" t="s">
        <v>23</v>
      </c>
      <c r="D100">
        <v>24</v>
      </c>
      <c r="E100" t="s">
        <v>24</v>
      </c>
      <c r="F100" t="s">
        <v>230</v>
      </c>
      <c r="G100" t="s">
        <v>45</v>
      </c>
      <c r="H100" t="s">
        <v>46</v>
      </c>
      <c r="I100" t="s">
        <v>17</v>
      </c>
      <c r="J100">
        <v>0</v>
      </c>
      <c r="K100">
        <v>18773</v>
      </c>
      <c r="L100">
        <v>1398034</v>
      </c>
      <c r="M100" t="str">
        <f t="shared" si="1"/>
        <v>Other</v>
      </c>
      <c r="N100" t="str">
        <f>TEXT(DATE(EXPORT[[#This Row],[Year]], A100, 1), "mmmm")</f>
        <v>April</v>
      </c>
    </row>
    <row r="101" spans="1:14" x14ac:dyDescent="0.3">
      <c r="A101">
        <v>2</v>
      </c>
      <c r="B101">
        <v>2023</v>
      </c>
      <c r="C101" t="s">
        <v>58</v>
      </c>
      <c r="D101">
        <v>27</v>
      </c>
      <c r="E101" t="s">
        <v>59</v>
      </c>
      <c r="F101" t="s">
        <v>231</v>
      </c>
      <c r="G101" t="s">
        <v>40</v>
      </c>
      <c r="H101" t="s">
        <v>41</v>
      </c>
      <c r="I101" t="s">
        <v>17</v>
      </c>
      <c r="J101">
        <v>0</v>
      </c>
      <c r="K101">
        <v>13700</v>
      </c>
      <c r="L101">
        <v>1131760</v>
      </c>
      <c r="M101" t="str">
        <f t="shared" si="1"/>
        <v>Sea Port</v>
      </c>
      <c r="N101" t="str">
        <f>TEXT(DATE(EXPORT[[#This Row],[Year]], A101, 1), "mmmm")</f>
        <v>February</v>
      </c>
    </row>
    <row r="102" spans="1:14" x14ac:dyDescent="0.3">
      <c r="A102">
        <v>3</v>
      </c>
      <c r="B102">
        <v>2023</v>
      </c>
      <c r="C102" t="s">
        <v>23</v>
      </c>
      <c r="D102">
        <v>24</v>
      </c>
      <c r="E102" t="s">
        <v>38</v>
      </c>
      <c r="F102" t="s">
        <v>159</v>
      </c>
      <c r="G102" t="s">
        <v>86</v>
      </c>
      <c r="H102" t="s">
        <v>87</v>
      </c>
      <c r="I102" t="s">
        <v>17</v>
      </c>
      <c r="J102">
        <v>0</v>
      </c>
      <c r="K102">
        <v>1513980</v>
      </c>
      <c r="L102">
        <v>124583320</v>
      </c>
      <c r="M102" t="str">
        <f t="shared" si="1"/>
        <v>ICD / Dry Port</v>
      </c>
      <c r="N102" t="str">
        <f>TEXT(DATE(EXPORT[[#This Row],[Year]], A102, 1), "mmmm")</f>
        <v>March</v>
      </c>
    </row>
    <row r="103" spans="1:14" x14ac:dyDescent="0.3">
      <c r="A103">
        <v>1</v>
      </c>
      <c r="B103">
        <v>2018</v>
      </c>
      <c r="C103" t="s">
        <v>58</v>
      </c>
      <c r="D103">
        <v>27</v>
      </c>
      <c r="E103" t="s">
        <v>59</v>
      </c>
      <c r="F103" t="s">
        <v>232</v>
      </c>
      <c r="G103" t="s">
        <v>21</v>
      </c>
      <c r="H103" t="s">
        <v>22</v>
      </c>
      <c r="I103" t="s">
        <v>17</v>
      </c>
      <c r="J103">
        <v>0</v>
      </c>
      <c r="K103">
        <v>34355</v>
      </c>
      <c r="L103">
        <v>2186272</v>
      </c>
      <c r="M103" t="str">
        <f t="shared" si="1"/>
        <v>Sea Port</v>
      </c>
      <c r="N103" t="str">
        <f>TEXT(DATE(EXPORT[[#This Row],[Year]], A103, 1), "mmmm")</f>
        <v>January</v>
      </c>
    </row>
    <row r="104" spans="1:14" x14ac:dyDescent="0.3">
      <c r="A104">
        <v>3</v>
      </c>
      <c r="B104">
        <v>2023</v>
      </c>
      <c r="C104" t="s">
        <v>42</v>
      </c>
      <c r="D104">
        <v>33</v>
      </c>
      <c r="E104" t="s">
        <v>111</v>
      </c>
      <c r="F104" t="s">
        <v>191</v>
      </c>
      <c r="G104" t="s">
        <v>26</v>
      </c>
      <c r="H104" t="s">
        <v>27</v>
      </c>
      <c r="I104" t="s">
        <v>17</v>
      </c>
      <c r="J104">
        <v>0</v>
      </c>
      <c r="K104">
        <v>43374</v>
      </c>
      <c r="L104">
        <v>3569200</v>
      </c>
      <c r="M104" t="str">
        <f t="shared" si="1"/>
        <v>Air Port</v>
      </c>
      <c r="N104" t="str">
        <f>TEXT(DATE(EXPORT[[#This Row],[Year]], A104, 1), "mmmm")</f>
        <v>March</v>
      </c>
    </row>
    <row r="105" spans="1:14" x14ac:dyDescent="0.3">
      <c r="A105">
        <v>4</v>
      </c>
      <c r="B105">
        <v>2019</v>
      </c>
      <c r="C105" t="s">
        <v>18</v>
      </c>
      <c r="D105">
        <v>6</v>
      </c>
      <c r="E105" t="s">
        <v>233</v>
      </c>
      <c r="F105" t="s">
        <v>234</v>
      </c>
      <c r="G105" t="s">
        <v>95</v>
      </c>
      <c r="H105" t="s">
        <v>96</v>
      </c>
      <c r="I105" t="s">
        <v>17</v>
      </c>
      <c r="J105">
        <v>0</v>
      </c>
      <c r="K105">
        <v>16493</v>
      </c>
      <c r="L105">
        <v>1145047</v>
      </c>
      <c r="M105" t="str">
        <f t="shared" si="1"/>
        <v>ICD / Dry Port</v>
      </c>
      <c r="N105" t="str">
        <f>TEXT(DATE(EXPORT[[#This Row],[Year]], A105, 1), "mmmm")</f>
        <v>April</v>
      </c>
    </row>
    <row r="106" spans="1:14" x14ac:dyDescent="0.3">
      <c r="A106">
        <v>3</v>
      </c>
      <c r="B106">
        <v>2021</v>
      </c>
      <c r="C106" t="s">
        <v>23</v>
      </c>
      <c r="D106">
        <v>24</v>
      </c>
      <c r="E106" t="s">
        <v>235</v>
      </c>
      <c r="F106" t="s">
        <v>215</v>
      </c>
      <c r="G106" t="s">
        <v>95</v>
      </c>
      <c r="H106" t="s">
        <v>96</v>
      </c>
      <c r="I106" t="s">
        <v>17</v>
      </c>
      <c r="J106">
        <v>0</v>
      </c>
      <c r="K106">
        <v>76477</v>
      </c>
      <c r="L106">
        <v>5567010</v>
      </c>
      <c r="M106" t="str">
        <f t="shared" si="1"/>
        <v>Sea Port</v>
      </c>
      <c r="N106" t="str">
        <f>TEXT(DATE(EXPORT[[#This Row],[Year]], A106, 1), "mmmm")</f>
        <v>March</v>
      </c>
    </row>
    <row r="107" spans="1:14" x14ac:dyDescent="0.3">
      <c r="A107">
        <v>12</v>
      </c>
      <c r="B107">
        <v>2020</v>
      </c>
      <c r="C107" t="s">
        <v>73</v>
      </c>
      <c r="D107">
        <v>3</v>
      </c>
      <c r="E107" t="s">
        <v>181</v>
      </c>
      <c r="F107" t="s">
        <v>194</v>
      </c>
      <c r="G107" t="s">
        <v>146</v>
      </c>
      <c r="H107" t="s">
        <v>147</v>
      </c>
      <c r="I107" t="s">
        <v>17</v>
      </c>
      <c r="J107">
        <v>0</v>
      </c>
      <c r="K107">
        <v>2373</v>
      </c>
      <c r="L107">
        <v>174673</v>
      </c>
      <c r="M107" t="str">
        <f t="shared" si="1"/>
        <v>ICD / Dry Port</v>
      </c>
      <c r="N107" t="str">
        <f>TEXT(DATE(EXPORT[[#This Row],[Year]], A107, 1), "mmmm")</f>
        <v>December</v>
      </c>
    </row>
    <row r="108" spans="1:14" x14ac:dyDescent="0.3">
      <c r="A108">
        <v>12</v>
      </c>
      <c r="B108">
        <v>2021</v>
      </c>
      <c r="C108" t="s">
        <v>28</v>
      </c>
      <c r="D108">
        <v>29</v>
      </c>
      <c r="E108" t="s">
        <v>236</v>
      </c>
      <c r="F108" t="s">
        <v>237</v>
      </c>
      <c r="G108" t="s">
        <v>26</v>
      </c>
      <c r="H108" t="s">
        <v>27</v>
      </c>
      <c r="I108" t="s">
        <v>17</v>
      </c>
      <c r="J108">
        <v>0</v>
      </c>
      <c r="K108">
        <v>3120</v>
      </c>
      <c r="L108">
        <v>235132</v>
      </c>
      <c r="M108" t="str">
        <f t="shared" si="1"/>
        <v>ICD / Dry Port</v>
      </c>
      <c r="N108" t="str">
        <f>TEXT(DATE(EXPORT[[#This Row],[Year]], A108, 1), "mmmm")</f>
        <v>December</v>
      </c>
    </row>
    <row r="109" spans="1:14" x14ac:dyDescent="0.3">
      <c r="A109">
        <v>8</v>
      </c>
      <c r="B109">
        <v>2023</v>
      </c>
      <c r="C109" t="s">
        <v>42</v>
      </c>
      <c r="D109">
        <v>33</v>
      </c>
      <c r="E109" t="s">
        <v>43</v>
      </c>
      <c r="F109" t="s">
        <v>237</v>
      </c>
      <c r="G109" t="s">
        <v>168</v>
      </c>
      <c r="H109" t="s">
        <v>169</v>
      </c>
      <c r="I109" t="s">
        <v>17</v>
      </c>
      <c r="J109">
        <v>0</v>
      </c>
      <c r="K109">
        <v>30097</v>
      </c>
      <c r="L109">
        <v>2491620</v>
      </c>
      <c r="M109" t="str">
        <f t="shared" si="1"/>
        <v>Sea Port</v>
      </c>
      <c r="N109" t="str">
        <f>TEXT(DATE(EXPORT[[#This Row],[Year]], A109, 1), "mmmm")</f>
        <v>August</v>
      </c>
    </row>
    <row r="110" spans="1:14" x14ac:dyDescent="0.3">
      <c r="A110">
        <v>10</v>
      </c>
      <c r="B110">
        <v>2018</v>
      </c>
      <c r="C110" t="s">
        <v>42</v>
      </c>
      <c r="D110">
        <v>33</v>
      </c>
      <c r="E110" t="s">
        <v>238</v>
      </c>
      <c r="F110" t="s">
        <v>20</v>
      </c>
      <c r="G110" t="s">
        <v>92</v>
      </c>
      <c r="H110" t="s">
        <v>93</v>
      </c>
      <c r="I110" t="s">
        <v>17</v>
      </c>
      <c r="J110">
        <v>0</v>
      </c>
      <c r="K110">
        <v>383008</v>
      </c>
      <c r="L110">
        <v>28201778</v>
      </c>
      <c r="M110" t="str">
        <f t="shared" si="1"/>
        <v>Sea Port</v>
      </c>
      <c r="N110" t="str">
        <f>TEXT(DATE(EXPORT[[#This Row],[Year]], A110, 1), "mmmm")</f>
        <v>October</v>
      </c>
    </row>
    <row r="111" spans="1:14" x14ac:dyDescent="0.3">
      <c r="A111">
        <v>2</v>
      </c>
      <c r="B111">
        <v>2022</v>
      </c>
      <c r="C111" t="s">
        <v>47</v>
      </c>
      <c r="D111">
        <v>7</v>
      </c>
      <c r="E111" t="s">
        <v>51</v>
      </c>
      <c r="F111" t="s">
        <v>105</v>
      </c>
      <c r="G111" t="s">
        <v>92</v>
      </c>
      <c r="H111" t="s">
        <v>93</v>
      </c>
      <c r="I111" t="s">
        <v>17</v>
      </c>
      <c r="J111">
        <v>0</v>
      </c>
      <c r="K111">
        <v>241451</v>
      </c>
      <c r="L111">
        <v>18109568</v>
      </c>
      <c r="M111" t="str">
        <f t="shared" si="1"/>
        <v>ICD / Dry Port</v>
      </c>
      <c r="N111" t="str">
        <f>TEXT(DATE(EXPORT[[#This Row],[Year]], A111, 1), "mmmm")</f>
        <v>February</v>
      </c>
    </row>
    <row r="112" spans="1:14" x14ac:dyDescent="0.3">
      <c r="A112">
        <v>3</v>
      </c>
      <c r="B112">
        <v>2021</v>
      </c>
      <c r="C112" t="s">
        <v>23</v>
      </c>
      <c r="D112">
        <v>24</v>
      </c>
      <c r="E112" t="s">
        <v>24</v>
      </c>
      <c r="F112" t="s">
        <v>105</v>
      </c>
      <c r="G112" t="s">
        <v>239</v>
      </c>
      <c r="H112" t="s">
        <v>240</v>
      </c>
      <c r="I112" t="s">
        <v>17</v>
      </c>
      <c r="J112">
        <v>0</v>
      </c>
      <c r="K112">
        <v>870</v>
      </c>
      <c r="L112">
        <v>63348</v>
      </c>
      <c r="M112" t="str">
        <f t="shared" si="1"/>
        <v>Other</v>
      </c>
      <c r="N112" t="str">
        <f>TEXT(DATE(EXPORT[[#This Row],[Year]], A112, 1), "mmmm")</f>
        <v>March</v>
      </c>
    </row>
    <row r="113" spans="1:14" x14ac:dyDescent="0.3">
      <c r="A113">
        <v>8</v>
      </c>
      <c r="B113">
        <v>2023</v>
      </c>
      <c r="C113" t="s">
        <v>12</v>
      </c>
      <c r="D113">
        <v>8</v>
      </c>
      <c r="E113" t="s">
        <v>165</v>
      </c>
      <c r="F113" t="s">
        <v>241</v>
      </c>
      <c r="G113" t="s">
        <v>95</v>
      </c>
      <c r="H113" t="s">
        <v>96</v>
      </c>
      <c r="I113" t="s">
        <v>17</v>
      </c>
      <c r="J113">
        <v>0</v>
      </c>
      <c r="K113">
        <v>33</v>
      </c>
      <c r="L113">
        <v>2716</v>
      </c>
      <c r="M113" t="str">
        <f t="shared" si="1"/>
        <v>ICD / Dry Port</v>
      </c>
      <c r="N113" t="str">
        <f>TEXT(DATE(EXPORT[[#This Row],[Year]], A113, 1), "mmmm")</f>
        <v>August</v>
      </c>
    </row>
    <row r="114" spans="1:14" x14ac:dyDescent="0.3">
      <c r="A114">
        <v>7</v>
      </c>
      <c r="B114">
        <v>2021</v>
      </c>
      <c r="C114" t="s">
        <v>42</v>
      </c>
      <c r="D114">
        <v>33</v>
      </c>
      <c r="E114" t="s">
        <v>111</v>
      </c>
      <c r="F114" t="s">
        <v>242</v>
      </c>
      <c r="G114" t="s">
        <v>150</v>
      </c>
      <c r="H114" t="s">
        <v>151</v>
      </c>
      <c r="I114" t="s">
        <v>17</v>
      </c>
      <c r="J114">
        <v>0</v>
      </c>
      <c r="K114">
        <v>176</v>
      </c>
      <c r="L114">
        <v>13097</v>
      </c>
      <c r="M114" t="str">
        <f t="shared" si="1"/>
        <v>Air Port</v>
      </c>
      <c r="N114" t="str">
        <f>TEXT(DATE(EXPORT[[#This Row],[Year]], A114, 1), "mmmm")</f>
        <v>July</v>
      </c>
    </row>
    <row r="115" spans="1:14" x14ac:dyDescent="0.3">
      <c r="A115">
        <v>2</v>
      </c>
      <c r="B115">
        <v>2023</v>
      </c>
      <c r="C115" t="s">
        <v>132</v>
      </c>
      <c r="D115">
        <v>19</v>
      </c>
      <c r="E115" t="s">
        <v>133</v>
      </c>
      <c r="F115" t="s">
        <v>243</v>
      </c>
      <c r="G115" t="s">
        <v>244</v>
      </c>
      <c r="H115" t="s">
        <v>245</v>
      </c>
      <c r="I115" t="s">
        <v>17</v>
      </c>
      <c r="J115">
        <v>0</v>
      </c>
      <c r="K115">
        <v>883</v>
      </c>
      <c r="L115">
        <v>72945</v>
      </c>
      <c r="M115" t="str">
        <f t="shared" si="1"/>
        <v>Air Port</v>
      </c>
      <c r="N115" t="str">
        <f>TEXT(DATE(EXPORT[[#This Row],[Year]], A115, 1), "mmmm")</f>
        <v>February</v>
      </c>
    </row>
    <row r="116" spans="1:14" x14ac:dyDescent="0.3">
      <c r="A116">
        <v>6</v>
      </c>
      <c r="B116">
        <v>2022</v>
      </c>
      <c r="C116" t="s">
        <v>18</v>
      </c>
      <c r="D116">
        <v>6</v>
      </c>
      <c r="E116" t="s">
        <v>246</v>
      </c>
      <c r="F116" t="s">
        <v>194</v>
      </c>
      <c r="G116" t="s">
        <v>106</v>
      </c>
      <c r="H116" t="s">
        <v>558</v>
      </c>
      <c r="I116" t="s">
        <v>17</v>
      </c>
      <c r="J116">
        <v>0</v>
      </c>
      <c r="K116">
        <v>68941</v>
      </c>
      <c r="L116">
        <v>5382505</v>
      </c>
      <c r="M116" t="str">
        <f t="shared" si="1"/>
        <v>ICD / Dry Port</v>
      </c>
      <c r="N116" t="str">
        <f>TEXT(DATE(EXPORT[[#This Row],[Year]], A116, 1), "mmmm")</f>
        <v>June</v>
      </c>
    </row>
    <row r="117" spans="1:14" x14ac:dyDescent="0.3">
      <c r="A117">
        <v>11</v>
      </c>
      <c r="B117">
        <v>2019</v>
      </c>
      <c r="C117" t="s">
        <v>79</v>
      </c>
      <c r="D117">
        <v>9</v>
      </c>
      <c r="E117" t="s">
        <v>213</v>
      </c>
      <c r="F117" t="s">
        <v>247</v>
      </c>
      <c r="G117" t="s">
        <v>248</v>
      </c>
      <c r="H117" t="s">
        <v>249</v>
      </c>
      <c r="I117" t="s">
        <v>17</v>
      </c>
      <c r="J117">
        <v>0</v>
      </c>
      <c r="K117">
        <v>6649</v>
      </c>
      <c r="L117">
        <v>475086</v>
      </c>
      <c r="M117" t="str">
        <f t="shared" si="1"/>
        <v>SEZ / Industrial Zone</v>
      </c>
      <c r="N117" t="str">
        <f>TEXT(DATE(EXPORT[[#This Row],[Year]], A117, 1), "mmmm")</f>
        <v>November</v>
      </c>
    </row>
    <row r="118" spans="1:14" x14ac:dyDescent="0.3">
      <c r="A118">
        <v>8</v>
      </c>
      <c r="B118">
        <v>2021</v>
      </c>
      <c r="C118" t="s">
        <v>23</v>
      </c>
      <c r="D118">
        <v>24</v>
      </c>
      <c r="E118" t="s">
        <v>199</v>
      </c>
      <c r="F118" t="s">
        <v>193</v>
      </c>
      <c r="G118" t="s">
        <v>157</v>
      </c>
      <c r="H118" t="s">
        <v>158</v>
      </c>
      <c r="I118" t="s">
        <v>17</v>
      </c>
      <c r="J118">
        <v>0</v>
      </c>
      <c r="K118">
        <v>5343</v>
      </c>
      <c r="L118">
        <v>396360</v>
      </c>
      <c r="M118" t="str">
        <f t="shared" si="1"/>
        <v>SEZ / Industrial Zone</v>
      </c>
      <c r="N118" t="str">
        <f>TEXT(DATE(EXPORT[[#This Row],[Year]], A118, 1), "mmmm")</f>
        <v>August</v>
      </c>
    </row>
    <row r="119" spans="1:14" x14ac:dyDescent="0.3">
      <c r="A119">
        <v>12</v>
      </c>
      <c r="B119">
        <v>2019</v>
      </c>
      <c r="C119" t="s">
        <v>42</v>
      </c>
      <c r="D119">
        <v>33</v>
      </c>
      <c r="E119" t="s">
        <v>250</v>
      </c>
      <c r="F119" t="s">
        <v>251</v>
      </c>
      <c r="G119" t="s">
        <v>116</v>
      </c>
      <c r="H119" t="s">
        <v>117</v>
      </c>
      <c r="I119" t="s">
        <v>17</v>
      </c>
      <c r="J119">
        <v>0</v>
      </c>
      <c r="K119">
        <v>221105</v>
      </c>
      <c r="L119">
        <v>15741010</v>
      </c>
      <c r="M119" t="str">
        <f t="shared" si="1"/>
        <v>ICD / Dry Port</v>
      </c>
      <c r="N119" t="str">
        <f>TEXT(DATE(EXPORT[[#This Row],[Year]], A119, 1), "mmmm")</f>
        <v>December</v>
      </c>
    </row>
    <row r="120" spans="1:14" x14ac:dyDescent="0.3">
      <c r="A120">
        <v>6</v>
      </c>
      <c r="B120">
        <v>2021</v>
      </c>
      <c r="C120" t="s">
        <v>23</v>
      </c>
      <c r="D120">
        <v>24</v>
      </c>
      <c r="E120" t="s">
        <v>38</v>
      </c>
      <c r="F120" t="s">
        <v>252</v>
      </c>
      <c r="G120" t="s">
        <v>116</v>
      </c>
      <c r="H120" t="s">
        <v>117</v>
      </c>
      <c r="I120" t="s">
        <v>17</v>
      </c>
      <c r="J120">
        <v>0</v>
      </c>
      <c r="K120">
        <v>185278</v>
      </c>
      <c r="L120">
        <v>13628744</v>
      </c>
      <c r="M120" t="str">
        <f t="shared" si="1"/>
        <v>ICD / Dry Port</v>
      </c>
      <c r="N120" t="str">
        <f>TEXT(DATE(EXPORT[[#This Row],[Year]], A120, 1), "mmmm")</f>
        <v>June</v>
      </c>
    </row>
    <row r="121" spans="1:14" x14ac:dyDescent="0.3">
      <c r="A121">
        <v>11</v>
      </c>
      <c r="B121">
        <v>2021</v>
      </c>
      <c r="C121" t="s">
        <v>47</v>
      </c>
      <c r="D121">
        <v>7</v>
      </c>
      <c r="E121" t="s">
        <v>48</v>
      </c>
      <c r="F121" t="s">
        <v>253</v>
      </c>
      <c r="G121" t="s">
        <v>116</v>
      </c>
      <c r="H121" t="s">
        <v>117</v>
      </c>
      <c r="I121" t="s">
        <v>17</v>
      </c>
      <c r="J121">
        <v>0</v>
      </c>
      <c r="K121">
        <v>2</v>
      </c>
      <c r="L121">
        <v>147</v>
      </c>
      <c r="M121" t="str">
        <f t="shared" si="1"/>
        <v>Air Port</v>
      </c>
      <c r="N121" t="str">
        <f>TEXT(DATE(EXPORT[[#This Row],[Year]], A121, 1), "mmmm")</f>
        <v>November</v>
      </c>
    </row>
    <row r="122" spans="1:14" x14ac:dyDescent="0.3">
      <c r="A122">
        <v>11</v>
      </c>
      <c r="B122">
        <v>2022</v>
      </c>
      <c r="C122" t="s">
        <v>18</v>
      </c>
      <c r="D122">
        <v>6</v>
      </c>
      <c r="E122" t="s">
        <v>254</v>
      </c>
      <c r="F122" t="s">
        <v>105</v>
      </c>
      <c r="G122" t="s">
        <v>187</v>
      </c>
      <c r="H122" t="s">
        <v>188</v>
      </c>
      <c r="I122" t="s">
        <v>17</v>
      </c>
      <c r="J122">
        <v>0</v>
      </c>
      <c r="K122">
        <v>39</v>
      </c>
      <c r="L122">
        <v>3170</v>
      </c>
      <c r="M122" t="str">
        <f t="shared" si="1"/>
        <v>ICD / Dry Port</v>
      </c>
      <c r="N122" t="str">
        <f>TEXT(DATE(EXPORT[[#This Row],[Year]], A122, 1), "mmmm")</f>
        <v>November</v>
      </c>
    </row>
    <row r="123" spans="1:14" x14ac:dyDescent="0.3">
      <c r="A123">
        <v>6</v>
      </c>
      <c r="B123">
        <v>2018</v>
      </c>
      <c r="C123" t="s">
        <v>132</v>
      </c>
      <c r="D123">
        <v>19</v>
      </c>
      <c r="E123" t="s">
        <v>133</v>
      </c>
      <c r="F123" t="s">
        <v>193</v>
      </c>
      <c r="G123" t="s">
        <v>612</v>
      </c>
      <c r="H123" t="s">
        <v>62</v>
      </c>
      <c r="I123" t="s">
        <v>17</v>
      </c>
      <c r="J123">
        <v>0</v>
      </c>
      <c r="K123">
        <v>1753</v>
      </c>
      <c r="L123">
        <v>118820</v>
      </c>
      <c r="M123" t="str">
        <f t="shared" si="1"/>
        <v>Air Port</v>
      </c>
      <c r="N123" t="str">
        <f>TEXT(DATE(EXPORT[[#This Row],[Year]], A123, 1), "mmmm")</f>
        <v>June</v>
      </c>
    </row>
    <row r="124" spans="1:14" x14ac:dyDescent="0.3">
      <c r="A124">
        <v>2</v>
      </c>
      <c r="B124">
        <v>2022</v>
      </c>
      <c r="C124" t="s">
        <v>42</v>
      </c>
      <c r="D124">
        <v>33</v>
      </c>
      <c r="E124" t="s">
        <v>255</v>
      </c>
      <c r="F124" t="s">
        <v>251</v>
      </c>
      <c r="G124" t="s">
        <v>40</v>
      </c>
      <c r="H124" t="s">
        <v>41</v>
      </c>
      <c r="I124" t="s">
        <v>17</v>
      </c>
      <c r="J124">
        <v>0</v>
      </c>
      <c r="K124">
        <v>500</v>
      </c>
      <c r="L124">
        <v>37496</v>
      </c>
      <c r="M124" t="str">
        <f t="shared" si="1"/>
        <v>SEZ / Industrial Zone</v>
      </c>
      <c r="N124" t="str">
        <f>TEXT(DATE(EXPORT[[#This Row],[Year]], A124, 1), "mmmm")</f>
        <v>February</v>
      </c>
    </row>
    <row r="125" spans="1:14" x14ac:dyDescent="0.3">
      <c r="A125">
        <v>7</v>
      </c>
      <c r="B125">
        <v>2023</v>
      </c>
      <c r="C125" t="s">
        <v>58</v>
      </c>
      <c r="D125">
        <v>27</v>
      </c>
      <c r="E125" t="s">
        <v>59</v>
      </c>
      <c r="F125" t="s">
        <v>256</v>
      </c>
      <c r="G125" t="s">
        <v>206</v>
      </c>
      <c r="H125" t="s">
        <v>207</v>
      </c>
      <c r="I125" t="s">
        <v>17</v>
      </c>
      <c r="J125">
        <v>0</v>
      </c>
      <c r="K125">
        <v>1977</v>
      </c>
      <c r="L125">
        <v>162400</v>
      </c>
      <c r="M125" t="str">
        <f t="shared" si="1"/>
        <v>Sea Port</v>
      </c>
      <c r="N125" t="str">
        <f>TEXT(DATE(EXPORT[[#This Row],[Year]], A125, 1), "mmmm")</f>
        <v>July</v>
      </c>
    </row>
    <row r="126" spans="1:14" x14ac:dyDescent="0.3">
      <c r="A126">
        <v>3</v>
      </c>
      <c r="B126">
        <v>2022</v>
      </c>
      <c r="C126" t="s">
        <v>28</v>
      </c>
      <c r="D126">
        <v>29</v>
      </c>
      <c r="E126" t="s">
        <v>29</v>
      </c>
      <c r="F126" t="s">
        <v>257</v>
      </c>
      <c r="G126" t="s">
        <v>258</v>
      </c>
      <c r="H126" t="s">
        <v>259</v>
      </c>
      <c r="I126" t="s">
        <v>17</v>
      </c>
      <c r="J126">
        <v>0</v>
      </c>
      <c r="K126">
        <v>48359</v>
      </c>
      <c r="L126">
        <v>3687131</v>
      </c>
      <c r="M126" t="str">
        <f t="shared" si="1"/>
        <v>Sea Port</v>
      </c>
      <c r="N126" t="str">
        <f>TEXT(DATE(EXPORT[[#This Row],[Year]], A126, 1), "mmmm")</f>
        <v>March</v>
      </c>
    </row>
    <row r="127" spans="1:14" x14ac:dyDescent="0.3">
      <c r="A127">
        <v>10</v>
      </c>
      <c r="B127">
        <v>2022</v>
      </c>
      <c r="C127" t="s">
        <v>47</v>
      </c>
      <c r="D127">
        <v>7</v>
      </c>
      <c r="E127" t="s">
        <v>48</v>
      </c>
      <c r="F127" t="s">
        <v>89</v>
      </c>
      <c r="G127" t="s">
        <v>15</v>
      </c>
      <c r="H127" t="s">
        <v>16</v>
      </c>
      <c r="I127" t="s">
        <v>17</v>
      </c>
      <c r="J127">
        <v>0</v>
      </c>
      <c r="K127">
        <v>6168</v>
      </c>
      <c r="L127">
        <v>507854</v>
      </c>
      <c r="M127" t="str">
        <f t="shared" si="1"/>
        <v>Air Port</v>
      </c>
      <c r="N127" t="str">
        <f>TEXT(DATE(EXPORT[[#This Row],[Year]], A127, 1), "mmmm")</f>
        <v>October</v>
      </c>
    </row>
    <row r="128" spans="1:14" x14ac:dyDescent="0.3">
      <c r="A128">
        <v>1</v>
      </c>
      <c r="B128">
        <v>2021</v>
      </c>
      <c r="C128" t="s">
        <v>58</v>
      </c>
      <c r="D128">
        <v>27</v>
      </c>
      <c r="E128" t="s">
        <v>125</v>
      </c>
      <c r="F128" t="s">
        <v>260</v>
      </c>
      <c r="G128" t="s">
        <v>15</v>
      </c>
      <c r="H128" t="s">
        <v>16</v>
      </c>
      <c r="I128" t="s">
        <v>17</v>
      </c>
      <c r="J128">
        <v>0</v>
      </c>
      <c r="K128">
        <v>59</v>
      </c>
      <c r="L128">
        <v>4326</v>
      </c>
      <c r="M128" t="str">
        <f t="shared" si="1"/>
        <v>Air Port</v>
      </c>
      <c r="N128" t="str">
        <f>TEXT(DATE(EXPORT[[#This Row],[Year]], A128, 1), "mmmm")</f>
        <v>January</v>
      </c>
    </row>
    <row r="129" spans="1:14" x14ac:dyDescent="0.3">
      <c r="A129">
        <v>3</v>
      </c>
      <c r="B129">
        <v>2022</v>
      </c>
      <c r="C129" t="s">
        <v>42</v>
      </c>
      <c r="D129">
        <v>33</v>
      </c>
      <c r="E129" t="s">
        <v>67</v>
      </c>
      <c r="F129" t="s">
        <v>153</v>
      </c>
      <c r="G129" t="s">
        <v>178</v>
      </c>
      <c r="H129" t="s">
        <v>179</v>
      </c>
      <c r="I129" t="s">
        <v>17</v>
      </c>
      <c r="J129">
        <v>0</v>
      </c>
      <c r="K129">
        <v>2405578</v>
      </c>
      <c r="L129">
        <v>183412118</v>
      </c>
      <c r="M129" t="str">
        <f t="shared" si="1"/>
        <v>ICD / Dry Port</v>
      </c>
      <c r="N129" t="str">
        <f>TEXT(DATE(EXPORT[[#This Row],[Year]], A129, 1), "mmmm")</f>
        <v>March</v>
      </c>
    </row>
    <row r="130" spans="1:14" x14ac:dyDescent="0.3">
      <c r="A130">
        <v>7</v>
      </c>
      <c r="B130">
        <v>2018</v>
      </c>
      <c r="C130" t="s">
        <v>42</v>
      </c>
      <c r="D130">
        <v>33</v>
      </c>
      <c r="E130" t="s">
        <v>43</v>
      </c>
      <c r="F130" t="s">
        <v>261</v>
      </c>
      <c r="G130" t="s">
        <v>99</v>
      </c>
      <c r="H130" t="s">
        <v>100</v>
      </c>
      <c r="I130" t="s">
        <v>17</v>
      </c>
      <c r="J130">
        <v>0</v>
      </c>
      <c r="K130">
        <v>56719</v>
      </c>
      <c r="L130">
        <v>3896235</v>
      </c>
      <c r="M130" t="str">
        <f t="shared" ref="M130:M193" si="2">IF(OR(ISNUMBER(SEARCH("ICD",E130)),ISNUMBER(SEARCH("Dry Port",E130))),"ICD / Dry Port", IF(OR(ISNUMBER(SEARCH("Sea",E130)),ISNUMBER(SEARCH("Port",E130))),"Sea Port", IF(OR(ISNUMBER(SEARCH("Air",E130)),ISNUMBER(SEARCH("Airport",E130))),"Air Port", IF(ISNUMBER(SEARCH("CFS",E130)),"CFS", IF(OR(ISNUMBER(SEARCH("SEZ",E130)),ISNUMBER(SEARCH("EPZ",E130)),ISNUMBER(SEARCH("FTWZ",E130)),ISNUMBER(SEARCH("City",E130)),ISNUMBER(SEARCH("Park",E130))),"SEZ / Industrial Zone", IF(OR(ISNUMBER(SEARCH("Land",E130)),ISNUMBER(SEARCH("LCS",E130)),ISNUMBER(SEARCH("Rly",E130))),"Land Port", "Other"))))))</f>
        <v>Sea Port</v>
      </c>
      <c r="N130" t="str">
        <f>TEXT(DATE(EXPORT[[#This Row],[Year]], A130, 1), "mmmm")</f>
        <v>July</v>
      </c>
    </row>
    <row r="131" spans="1:14" x14ac:dyDescent="0.3">
      <c r="A131">
        <v>5</v>
      </c>
      <c r="B131">
        <v>2020</v>
      </c>
      <c r="C131" t="s">
        <v>58</v>
      </c>
      <c r="D131">
        <v>27</v>
      </c>
      <c r="E131" t="s">
        <v>129</v>
      </c>
      <c r="F131" t="s">
        <v>20</v>
      </c>
      <c r="G131" t="s">
        <v>92</v>
      </c>
      <c r="H131" t="s">
        <v>93</v>
      </c>
      <c r="I131" t="s">
        <v>17</v>
      </c>
      <c r="J131">
        <v>0</v>
      </c>
      <c r="K131">
        <v>57</v>
      </c>
      <c r="L131">
        <v>4331</v>
      </c>
      <c r="M131" t="str">
        <f t="shared" si="2"/>
        <v>ICD / Dry Port</v>
      </c>
      <c r="N131" t="str">
        <f>TEXT(DATE(EXPORT[[#This Row],[Year]], A131, 1), "mmmm")</f>
        <v>May</v>
      </c>
    </row>
    <row r="132" spans="1:14" x14ac:dyDescent="0.3">
      <c r="A132">
        <v>6</v>
      </c>
      <c r="B132">
        <v>2020</v>
      </c>
      <c r="C132" t="s">
        <v>42</v>
      </c>
      <c r="D132">
        <v>33</v>
      </c>
      <c r="E132" t="s">
        <v>43</v>
      </c>
      <c r="F132" t="s">
        <v>262</v>
      </c>
      <c r="G132" t="s">
        <v>92</v>
      </c>
      <c r="H132" t="s">
        <v>93</v>
      </c>
      <c r="I132" t="s">
        <v>17</v>
      </c>
      <c r="J132">
        <v>0</v>
      </c>
      <c r="K132">
        <v>68331</v>
      </c>
      <c r="L132">
        <v>5174458</v>
      </c>
      <c r="M132" t="str">
        <f t="shared" si="2"/>
        <v>Sea Port</v>
      </c>
      <c r="N132" t="str">
        <f>TEXT(DATE(EXPORT[[#This Row],[Year]], A132, 1), "mmmm")</f>
        <v>June</v>
      </c>
    </row>
    <row r="133" spans="1:14" x14ac:dyDescent="0.3">
      <c r="A133">
        <v>4</v>
      </c>
      <c r="B133">
        <v>2018</v>
      </c>
      <c r="C133" t="s">
        <v>23</v>
      </c>
      <c r="D133">
        <v>24</v>
      </c>
      <c r="E133" t="s">
        <v>218</v>
      </c>
      <c r="F133" t="s">
        <v>263</v>
      </c>
      <c r="G133" t="s">
        <v>77</v>
      </c>
      <c r="H133" t="s">
        <v>78</v>
      </c>
      <c r="I133" t="s">
        <v>17</v>
      </c>
      <c r="J133">
        <v>0</v>
      </c>
      <c r="K133">
        <v>1062</v>
      </c>
      <c r="L133">
        <v>69687</v>
      </c>
      <c r="M133" t="str">
        <f t="shared" si="2"/>
        <v>Air Port</v>
      </c>
      <c r="N133" t="str">
        <f>TEXT(DATE(EXPORT[[#This Row],[Year]], A133, 1), "mmmm")</f>
        <v>April</v>
      </c>
    </row>
    <row r="134" spans="1:14" x14ac:dyDescent="0.3">
      <c r="A134">
        <v>12</v>
      </c>
      <c r="B134">
        <v>2022</v>
      </c>
      <c r="C134" t="s">
        <v>42</v>
      </c>
      <c r="D134">
        <v>33</v>
      </c>
      <c r="E134" t="s">
        <v>264</v>
      </c>
      <c r="F134" t="s">
        <v>90</v>
      </c>
      <c r="G134" t="s">
        <v>86</v>
      </c>
      <c r="H134" t="s">
        <v>87</v>
      </c>
      <c r="I134" t="s">
        <v>17</v>
      </c>
      <c r="J134">
        <v>0</v>
      </c>
      <c r="K134">
        <v>379729</v>
      </c>
      <c r="L134">
        <v>31314019</v>
      </c>
      <c r="M134" t="str">
        <f t="shared" si="2"/>
        <v>SEZ / Industrial Zone</v>
      </c>
      <c r="N134" t="str">
        <f>TEXT(DATE(EXPORT[[#This Row],[Year]], A134, 1), "mmmm")</f>
        <v>December</v>
      </c>
    </row>
    <row r="135" spans="1:14" x14ac:dyDescent="0.3">
      <c r="A135">
        <v>7</v>
      </c>
      <c r="B135">
        <v>2021</v>
      </c>
      <c r="C135" t="s">
        <v>132</v>
      </c>
      <c r="D135">
        <v>19</v>
      </c>
      <c r="E135" t="s">
        <v>209</v>
      </c>
      <c r="F135" t="s">
        <v>265</v>
      </c>
      <c r="G135" t="s">
        <v>266</v>
      </c>
      <c r="H135" t="s">
        <v>267</v>
      </c>
      <c r="I135" t="s">
        <v>17</v>
      </c>
      <c r="J135">
        <v>0</v>
      </c>
      <c r="K135">
        <v>23988</v>
      </c>
      <c r="L135">
        <v>1787747</v>
      </c>
      <c r="M135" t="str">
        <f t="shared" si="2"/>
        <v>Sea Port</v>
      </c>
      <c r="N135" t="str">
        <f>TEXT(DATE(EXPORT[[#This Row],[Year]], A135, 1), "mmmm")</f>
        <v>July</v>
      </c>
    </row>
    <row r="136" spans="1:14" x14ac:dyDescent="0.3">
      <c r="A136">
        <v>8</v>
      </c>
      <c r="B136">
        <v>2023</v>
      </c>
      <c r="C136" t="s">
        <v>47</v>
      </c>
      <c r="D136">
        <v>7</v>
      </c>
      <c r="E136" t="s">
        <v>48</v>
      </c>
      <c r="F136" t="s">
        <v>268</v>
      </c>
      <c r="G136" t="s">
        <v>140</v>
      </c>
      <c r="H136" t="s">
        <v>614</v>
      </c>
      <c r="I136" t="s">
        <v>17</v>
      </c>
      <c r="J136">
        <v>0</v>
      </c>
      <c r="K136">
        <v>3141</v>
      </c>
      <c r="L136">
        <v>260002</v>
      </c>
      <c r="M136" t="str">
        <f t="shared" si="2"/>
        <v>Air Port</v>
      </c>
      <c r="N136" t="str">
        <f>TEXT(DATE(EXPORT[[#This Row],[Year]], A136, 1), "mmmm")</f>
        <v>August</v>
      </c>
    </row>
    <row r="137" spans="1:14" x14ac:dyDescent="0.3">
      <c r="A137">
        <v>2</v>
      </c>
      <c r="B137">
        <v>2022</v>
      </c>
      <c r="C137" t="s">
        <v>58</v>
      </c>
      <c r="D137">
        <v>27</v>
      </c>
      <c r="E137" t="s">
        <v>59</v>
      </c>
      <c r="F137" t="s">
        <v>269</v>
      </c>
      <c r="G137" t="s">
        <v>26</v>
      </c>
      <c r="H137" t="s">
        <v>27</v>
      </c>
      <c r="I137" t="s">
        <v>17</v>
      </c>
      <c r="J137">
        <v>0</v>
      </c>
      <c r="K137">
        <v>27192</v>
      </c>
      <c r="L137">
        <v>2039478</v>
      </c>
      <c r="M137" t="str">
        <f t="shared" si="2"/>
        <v>Sea Port</v>
      </c>
      <c r="N137" t="str">
        <f>TEXT(DATE(EXPORT[[#This Row],[Year]], A137, 1), "mmmm")</f>
        <v>February</v>
      </c>
    </row>
    <row r="138" spans="1:14" x14ac:dyDescent="0.3">
      <c r="A138">
        <v>9</v>
      </c>
      <c r="B138">
        <v>2022</v>
      </c>
      <c r="C138" t="s">
        <v>58</v>
      </c>
      <c r="D138">
        <v>27</v>
      </c>
      <c r="E138" t="s">
        <v>125</v>
      </c>
      <c r="F138" t="s">
        <v>270</v>
      </c>
      <c r="G138" t="s">
        <v>82</v>
      </c>
      <c r="H138" t="s">
        <v>83</v>
      </c>
      <c r="I138" t="s">
        <v>17</v>
      </c>
      <c r="J138">
        <v>0</v>
      </c>
      <c r="K138">
        <v>37</v>
      </c>
      <c r="L138">
        <v>2940</v>
      </c>
      <c r="M138" t="str">
        <f t="shared" si="2"/>
        <v>Air Port</v>
      </c>
      <c r="N138" t="str">
        <f>TEXT(DATE(EXPORT[[#This Row],[Year]], A138, 1), "mmmm")</f>
        <v>September</v>
      </c>
    </row>
    <row r="139" spans="1:14" x14ac:dyDescent="0.3">
      <c r="A139">
        <v>4</v>
      </c>
      <c r="B139">
        <v>2019</v>
      </c>
      <c r="C139" t="s">
        <v>23</v>
      </c>
      <c r="D139">
        <v>24</v>
      </c>
      <c r="E139" t="s">
        <v>271</v>
      </c>
      <c r="F139" t="s">
        <v>35</v>
      </c>
      <c r="G139" t="s">
        <v>178</v>
      </c>
      <c r="H139" t="s">
        <v>179</v>
      </c>
      <c r="I139" t="s">
        <v>17</v>
      </c>
      <c r="J139">
        <v>0</v>
      </c>
      <c r="K139">
        <v>203568</v>
      </c>
      <c r="L139">
        <v>14133225</v>
      </c>
      <c r="M139" t="str">
        <f t="shared" si="2"/>
        <v>SEZ / Industrial Zone</v>
      </c>
      <c r="N139" t="str">
        <f>TEXT(DATE(EXPORT[[#This Row],[Year]], A139, 1), "mmmm")</f>
        <v>April</v>
      </c>
    </row>
    <row r="140" spans="1:14" x14ac:dyDescent="0.3">
      <c r="A140">
        <v>7</v>
      </c>
      <c r="B140">
        <v>2021</v>
      </c>
      <c r="C140" t="s">
        <v>58</v>
      </c>
      <c r="D140">
        <v>27</v>
      </c>
      <c r="E140" t="s">
        <v>272</v>
      </c>
      <c r="F140" t="s">
        <v>193</v>
      </c>
      <c r="G140" t="s">
        <v>86</v>
      </c>
      <c r="H140" t="s">
        <v>87</v>
      </c>
      <c r="I140" t="s">
        <v>17</v>
      </c>
      <c r="J140">
        <v>0</v>
      </c>
      <c r="K140">
        <v>538</v>
      </c>
      <c r="L140">
        <v>40083</v>
      </c>
      <c r="M140" t="str">
        <f t="shared" si="2"/>
        <v>Other</v>
      </c>
      <c r="N140" t="str">
        <f>TEXT(DATE(EXPORT[[#This Row],[Year]], A140, 1), "mmmm")</f>
        <v>July</v>
      </c>
    </row>
    <row r="141" spans="1:14" x14ac:dyDescent="0.3">
      <c r="A141">
        <v>4</v>
      </c>
      <c r="B141">
        <v>2022</v>
      </c>
      <c r="C141" t="s">
        <v>47</v>
      </c>
      <c r="D141">
        <v>7</v>
      </c>
      <c r="E141" t="s">
        <v>51</v>
      </c>
      <c r="F141" t="s">
        <v>190</v>
      </c>
      <c r="G141" t="s">
        <v>86</v>
      </c>
      <c r="H141" t="s">
        <v>87</v>
      </c>
      <c r="I141" t="s">
        <v>17</v>
      </c>
      <c r="J141">
        <v>0</v>
      </c>
      <c r="K141">
        <v>723720</v>
      </c>
      <c r="L141">
        <v>55124177</v>
      </c>
      <c r="M141" t="str">
        <f t="shared" si="2"/>
        <v>ICD / Dry Port</v>
      </c>
      <c r="N141" t="str">
        <f>TEXT(DATE(EXPORT[[#This Row],[Year]], A141, 1), "mmmm")</f>
        <v>April</v>
      </c>
    </row>
    <row r="142" spans="1:14" x14ac:dyDescent="0.3">
      <c r="A142">
        <v>10</v>
      </c>
      <c r="B142">
        <v>2018</v>
      </c>
      <c r="C142" t="s">
        <v>42</v>
      </c>
      <c r="D142">
        <v>33</v>
      </c>
      <c r="E142" t="s">
        <v>111</v>
      </c>
      <c r="F142" t="s">
        <v>186</v>
      </c>
      <c r="G142" t="s">
        <v>612</v>
      </c>
      <c r="H142" t="s">
        <v>62</v>
      </c>
      <c r="I142" t="s">
        <v>17</v>
      </c>
      <c r="J142">
        <v>0</v>
      </c>
      <c r="K142">
        <v>5798</v>
      </c>
      <c r="L142">
        <v>426921</v>
      </c>
      <c r="M142" t="str">
        <f t="shared" si="2"/>
        <v>Air Port</v>
      </c>
      <c r="N142" t="str">
        <f>TEXT(DATE(EXPORT[[#This Row],[Year]], A142, 1), "mmmm")</f>
        <v>October</v>
      </c>
    </row>
    <row r="143" spans="1:14" x14ac:dyDescent="0.3">
      <c r="A143">
        <v>2</v>
      </c>
      <c r="B143">
        <v>2018</v>
      </c>
      <c r="C143" t="s">
        <v>47</v>
      </c>
      <c r="D143">
        <v>7</v>
      </c>
      <c r="E143" t="s">
        <v>51</v>
      </c>
      <c r="F143" t="s">
        <v>14</v>
      </c>
      <c r="G143" t="s">
        <v>92</v>
      </c>
      <c r="H143" t="s">
        <v>93</v>
      </c>
      <c r="I143" t="s">
        <v>17</v>
      </c>
      <c r="J143">
        <v>0</v>
      </c>
      <c r="K143">
        <v>20534</v>
      </c>
      <c r="L143">
        <v>1321842</v>
      </c>
      <c r="M143" t="str">
        <f t="shared" si="2"/>
        <v>ICD / Dry Port</v>
      </c>
      <c r="N143" t="str">
        <f>TEXT(DATE(EXPORT[[#This Row],[Year]], A143, 1), "mmmm")</f>
        <v>February</v>
      </c>
    </row>
    <row r="144" spans="1:14" x14ac:dyDescent="0.3">
      <c r="A144">
        <v>10</v>
      </c>
      <c r="B144">
        <v>2020</v>
      </c>
      <c r="C144" t="s">
        <v>42</v>
      </c>
      <c r="D144">
        <v>33</v>
      </c>
      <c r="E144" t="s">
        <v>176</v>
      </c>
      <c r="F144" t="s">
        <v>241</v>
      </c>
      <c r="G144" t="s">
        <v>273</v>
      </c>
      <c r="H144" t="s">
        <v>274</v>
      </c>
      <c r="I144" t="s">
        <v>17</v>
      </c>
      <c r="J144">
        <v>0</v>
      </c>
      <c r="K144">
        <v>603</v>
      </c>
      <c r="L144">
        <v>44309</v>
      </c>
      <c r="M144" t="str">
        <f t="shared" si="2"/>
        <v>Sea Port</v>
      </c>
      <c r="N144" t="str">
        <f>TEXT(DATE(EXPORT[[#This Row],[Year]], A144, 1), "mmmm")</f>
        <v>October</v>
      </c>
    </row>
    <row r="145" spans="1:14" x14ac:dyDescent="0.3">
      <c r="A145">
        <v>1</v>
      </c>
      <c r="B145">
        <v>2023</v>
      </c>
      <c r="C145" t="s">
        <v>275</v>
      </c>
      <c r="D145">
        <v>28</v>
      </c>
      <c r="E145" t="s">
        <v>276</v>
      </c>
      <c r="F145" t="s">
        <v>153</v>
      </c>
      <c r="G145" t="s">
        <v>273</v>
      </c>
      <c r="H145" t="s">
        <v>274</v>
      </c>
      <c r="I145" t="s">
        <v>17</v>
      </c>
      <c r="J145">
        <v>0</v>
      </c>
      <c r="K145">
        <v>336755</v>
      </c>
      <c r="L145">
        <v>27580101</v>
      </c>
      <c r="M145" t="str">
        <f t="shared" si="2"/>
        <v>Other</v>
      </c>
      <c r="N145" t="str">
        <f>TEXT(DATE(EXPORT[[#This Row],[Year]], A145, 1), "mmmm")</f>
        <v>January</v>
      </c>
    </row>
    <row r="146" spans="1:14" x14ac:dyDescent="0.3">
      <c r="A146">
        <v>10</v>
      </c>
      <c r="B146">
        <v>2020</v>
      </c>
      <c r="C146" t="s">
        <v>28</v>
      </c>
      <c r="D146">
        <v>29</v>
      </c>
      <c r="E146" t="s">
        <v>236</v>
      </c>
      <c r="F146" t="s">
        <v>277</v>
      </c>
      <c r="G146" t="s">
        <v>121</v>
      </c>
      <c r="H146" t="s">
        <v>122</v>
      </c>
      <c r="I146" t="s">
        <v>17</v>
      </c>
      <c r="J146">
        <v>0</v>
      </c>
      <c r="K146">
        <v>2907</v>
      </c>
      <c r="L146">
        <v>213566</v>
      </c>
      <c r="M146" t="str">
        <f t="shared" si="2"/>
        <v>ICD / Dry Port</v>
      </c>
      <c r="N146" t="str">
        <f>TEXT(DATE(EXPORT[[#This Row],[Year]], A146, 1), "mmmm")</f>
        <v>October</v>
      </c>
    </row>
    <row r="147" spans="1:14" x14ac:dyDescent="0.3">
      <c r="A147">
        <v>8</v>
      </c>
      <c r="B147">
        <v>2018</v>
      </c>
      <c r="C147" t="s">
        <v>23</v>
      </c>
      <c r="D147">
        <v>24</v>
      </c>
      <c r="E147" t="s">
        <v>24</v>
      </c>
      <c r="F147" t="s">
        <v>105</v>
      </c>
      <c r="G147" t="s">
        <v>106</v>
      </c>
      <c r="H147" t="s">
        <v>558</v>
      </c>
      <c r="I147" t="s">
        <v>17</v>
      </c>
      <c r="J147">
        <v>0</v>
      </c>
      <c r="K147">
        <v>194887</v>
      </c>
      <c r="L147">
        <v>13553716</v>
      </c>
      <c r="M147" t="str">
        <f t="shared" si="2"/>
        <v>Other</v>
      </c>
      <c r="N147" t="str">
        <f>TEXT(DATE(EXPORT[[#This Row],[Year]], A147, 1), "mmmm")</f>
        <v>August</v>
      </c>
    </row>
    <row r="148" spans="1:14" x14ac:dyDescent="0.3">
      <c r="A148">
        <v>1</v>
      </c>
      <c r="B148">
        <v>2020</v>
      </c>
      <c r="C148" t="s">
        <v>42</v>
      </c>
      <c r="D148">
        <v>33</v>
      </c>
      <c r="E148" t="s">
        <v>176</v>
      </c>
      <c r="F148" t="s">
        <v>14</v>
      </c>
      <c r="G148" t="s">
        <v>15</v>
      </c>
      <c r="H148" t="s">
        <v>16</v>
      </c>
      <c r="I148" t="s">
        <v>17</v>
      </c>
      <c r="J148">
        <v>0</v>
      </c>
      <c r="K148">
        <v>107895</v>
      </c>
      <c r="L148">
        <v>7694417</v>
      </c>
      <c r="M148" t="str">
        <f t="shared" si="2"/>
        <v>Sea Port</v>
      </c>
      <c r="N148" t="str">
        <f>TEXT(DATE(EXPORT[[#This Row],[Year]], A148, 1), "mmmm")</f>
        <v>January</v>
      </c>
    </row>
    <row r="149" spans="1:14" x14ac:dyDescent="0.3">
      <c r="A149">
        <v>1</v>
      </c>
      <c r="B149">
        <v>2021</v>
      </c>
      <c r="C149" t="s">
        <v>12</v>
      </c>
      <c r="D149">
        <v>8</v>
      </c>
      <c r="E149" t="s">
        <v>13</v>
      </c>
      <c r="F149" t="s">
        <v>14</v>
      </c>
      <c r="G149" t="s">
        <v>278</v>
      </c>
      <c r="H149" t="s">
        <v>279</v>
      </c>
      <c r="I149" t="s">
        <v>17</v>
      </c>
      <c r="J149">
        <v>0</v>
      </c>
      <c r="K149">
        <v>2091</v>
      </c>
      <c r="L149">
        <v>152905</v>
      </c>
      <c r="M149" t="str">
        <f t="shared" si="2"/>
        <v>ICD / Dry Port</v>
      </c>
      <c r="N149" t="str">
        <f>TEXT(DATE(EXPORT[[#This Row],[Year]], A149, 1), "mmmm")</f>
        <v>January</v>
      </c>
    </row>
    <row r="150" spans="1:14" x14ac:dyDescent="0.3">
      <c r="A150">
        <v>6</v>
      </c>
      <c r="B150">
        <v>2019</v>
      </c>
      <c r="C150" t="s">
        <v>58</v>
      </c>
      <c r="D150">
        <v>27</v>
      </c>
      <c r="E150" t="s">
        <v>125</v>
      </c>
      <c r="F150" t="s">
        <v>280</v>
      </c>
      <c r="G150" t="s">
        <v>187</v>
      </c>
      <c r="H150" t="s">
        <v>188</v>
      </c>
      <c r="I150" t="s">
        <v>17</v>
      </c>
      <c r="J150">
        <v>0</v>
      </c>
      <c r="K150">
        <v>1677</v>
      </c>
      <c r="L150">
        <v>116475</v>
      </c>
      <c r="M150" t="str">
        <f t="shared" si="2"/>
        <v>Air Port</v>
      </c>
      <c r="N150" t="str">
        <f>TEXT(DATE(EXPORT[[#This Row],[Year]], A150, 1), "mmmm")</f>
        <v>June</v>
      </c>
    </row>
    <row r="151" spans="1:14" x14ac:dyDescent="0.3">
      <c r="A151">
        <v>4</v>
      </c>
      <c r="B151">
        <v>2019</v>
      </c>
      <c r="C151" t="s">
        <v>42</v>
      </c>
      <c r="D151">
        <v>33</v>
      </c>
      <c r="E151" t="s">
        <v>176</v>
      </c>
      <c r="F151" t="s">
        <v>281</v>
      </c>
      <c r="G151" t="s">
        <v>113</v>
      </c>
      <c r="H151" t="s">
        <v>114</v>
      </c>
      <c r="I151" t="s">
        <v>17</v>
      </c>
      <c r="J151">
        <v>0</v>
      </c>
      <c r="K151">
        <v>41926</v>
      </c>
      <c r="L151">
        <v>2910837</v>
      </c>
      <c r="M151" t="str">
        <f t="shared" si="2"/>
        <v>Sea Port</v>
      </c>
      <c r="N151" t="str">
        <f>TEXT(DATE(EXPORT[[#This Row],[Year]], A151, 1), "mmmm")</f>
        <v>April</v>
      </c>
    </row>
    <row r="152" spans="1:14" x14ac:dyDescent="0.3">
      <c r="A152">
        <v>6</v>
      </c>
      <c r="B152">
        <v>2019</v>
      </c>
      <c r="C152" t="s">
        <v>23</v>
      </c>
      <c r="D152">
        <v>24</v>
      </c>
      <c r="E152" t="s">
        <v>235</v>
      </c>
      <c r="F152" t="s">
        <v>167</v>
      </c>
      <c r="G152" t="s">
        <v>52</v>
      </c>
      <c r="H152" t="s">
        <v>53</v>
      </c>
      <c r="I152" t="s">
        <v>17</v>
      </c>
      <c r="J152">
        <v>0</v>
      </c>
      <c r="K152">
        <v>24393</v>
      </c>
      <c r="L152">
        <v>1693803</v>
      </c>
      <c r="M152" t="str">
        <f t="shared" si="2"/>
        <v>Sea Port</v>
      </c>
      <c r="N152" t="str">
        <f>TEXT(DATE(EXPORT[[#This Row],[Year]], A152, 1), "mmmm")</f>
        <v>June</v>
      </c>
    </row>
    <row r="153" spans="1:14" x14ac:dyDescent="0.3">
      <c r="A153">
        <v>3</v>
      </c>
      <c r="B153">
        <v>2019</v>
      </c>
      <c r="C153" t="s">
        <v>42</v>
      </c>
      <c r="D153">
        <v>33</v>
      </c>
      <c r="E153" t="s">
        <v>43</v>
      </c>
      <c r="F153" t="s">
        <v>225</v>
      </c>
      <c r="G153" t="s">
        <v>173</v>
      </c>
      <c r="H153" t="s">
        <v>174</v>
      </c>
      <c r="I153" t="s">
        <v>17</v>
      </c>
      <c r="J153">
        <v>0</v>
      </c>
      <c r="K153">
        <v>552</v>
      </c>
      <c r="L153">
        <v>38341</v>
      </c>
      <c r="M153" t="str">
        <f t="shared" si="2"/>
        <v>Sea Port</v>
      </c>
      <c r="N153" t="str">
        <f>TEXT(DATE(EXPORT[[#This Row],[Year]], A153, 1), "mmmm")</f>
        <v>March</v>
      </c>
    </row>
    <row r="154" spans="1:14" x14ac:dyDescent="0.3">
      <c r="A154">
        <v>7</v>
      </c>
      <c r="B154">
        <v>2022</v>
      </c>
      <c r="C154" t="s">
        <v>28</v>
      </c>
      <c r="D154">
        <v>29</v>
      </c>
      <c r="E154" t="s">
        <v>236</v>
      </c>
      <c r="F154" t="s">
        <v>44</v>
      </c>
      <c r="G154" t="s">
        <v>282</v>
      </c>
      <c r="H154" t="s">
        <v>283</v>
      </c>
      <c r="I154" t="s">
        <v>17</v>
      </c>
      <c r="J154">
        <v>0</v>
      </c>
      <c r="K154">
        <v>1647</v>
      </c>
      <c r="L154">
        <v>131090</v>
      </c>
      <c r="M154" t="str">
        <f t="shared" si="2"/>
        <v>ICD / Dry Port</v>
      </c>
      <c r="N154" t="str">
        <f>TEXT(DATE(EXPORT[[#This Row],[Year]], A154, 1), "mmmm")</f>
        <v>July</v>
      </c>
    </row>
    <row r="155" spans="1:14" x14ac:dyDescent="0.3">
      <c r="A155">
        <v>2</v>
      </c>
      <c r="B155">
        <v>2022</v>
      </c>
      <c r="C155" t="s">
        <v>47</v>
      </c>
      <c r="D155">
        <v>7</v>
      </c>
      <c r="E155" t="s">
        <v>48</v>
      </c>
      <c r="F155" t="s">
        <v>190</v>
      </c>
      <c r="G155" t="s">
        <v>284</v>
      </c>
      <c r="H155" t="s">
        <v>285</v>
      </c>
      <c r="I155" t="s">
        <v>17</v>
      </c>
      <c r="J155">
        <v>0</v>
      </c>
      <c r="K155">
        <v>23084</v>
      </c>
      <c r="L155">
        <v>1731383</v>
      </c>
      <c r="M155" t="str">
        <f t="shared" si="2"/>
        <v>Air Port</v>
      </c>
      <c r="N155" t="str">
        <f>TEXT(DATE(EXPORT[[#This Row],[Year]], A155, 1), "mmmm")</f>
        <v>February</v>
      </c>
    </row>
    <row r="156" spans="1:14" x14ac:dyDescent="0.3">
      <c r="A156">
        <v>12</v>
      </c>
      <c r="B156">
        <v>2022</v>
      </c>
      <c r="C156" t="s">
        <v>79</v>
      </c>
      <c r="D156">
        <v>9</v>
      </c>
      <c r="E156" t="s">
        <v>286</v>
      </c>
      <c r="F156" t="s">
        <v>81</v>
      </c>
      <c r="G156" t="s">
        <v>49</v>
      </c>
      <c r="H156" t="s">
        <v>50</v>
      </c>
      <c r="I156" t="s">
        <v>17</v>
      </c>
      <c r="J156">
        <v>0</v>
      </c>
      <c r="K156">
        <v>851652</v>
      </c>
      <c r="L156">
        <v>70230810</v>
      </c>
      <c r="M156" t="str">
        <f t="shared" si="2"/>
        <v>Other</v>
      </c>
      <c r="N156" t="str">
        <f>TEXT(DATE(EXPORT[[#This Row],[Year]], A156, 1), "mmmm")</f>
        <v>December</v>
      </c>
    </row>
    <row r="157" spans="1:14" x14ac:dyDescent="0.3">
      <c r="A157">
        <v>3</v>
      </c>
      <c r="B157">
        <v>2021</v>
      </c>
      <c r="C157" t="s">
        <v>58</v>
      </c>
      <c r="D157">
        <v>27</v>
      </c>
      <c r="E157" t="s">
        <v>287</v>
      </c>
      <c r="F157" t="s">
        <v>35</v>
      </c>
      <c r="G157" t="s">
        <v>612</v>
      </c>
      <c r="H157" t="s">
        <v>62</v>
      </c>
      <c r="I157" t="s">
        <v>17</v>
      </c>
      <c r="J157">
        <v>0</v>
      </c>
      <c r="K157">
        <v>181963</v>
      </c>
      <c r="L157">
        <v>13245617</v>
      </c>
      <c r="M157" t="str">
        <f t="shared" si="2"/>
        <v>ICD / Dry Port</v>
      </c>
      <c r="N157" t="str">
        <f>TEXT(DATE(EXPORT[[#This Row],[Year]], A157, 1), "mmmm")</f>
        <v>March</v>
      </c>
    </row>
    <row r="158" spans="1:14" x14ac:dyDescent="0.3">
      <c r="A158">
        <v>7</v>
      </c>
      <c r="B158">
        <v>2020</v>
      </c>
      <c r="C158" t="s">
        <v>132</v>
      </c>
      <c r="D158">
        <v>19</v>
      </c>
      <c r="E158" t="s">
        <v>133</v>
      </c>
      <c r="F158" t="s">
        <v>288</v>
      </c>
      <c r="G158" t="s">
        <v>239</v>
      </c>
      <c r="H158" t="s">
        <v>240</v>
      </c>
      <c r="I158" t="s">
        <v>17</v>
      </c>
      <c r="J158">
        <v>0</v>
      </c>
      <c r="K158">
        <v>11972</v>
      </c>
      <c r="L158">
        <v>897804</v>
      </c>
      <c r="M158" t="str">
        <f t="shared" si="2"/>
        <v>Air Port</v>
      </c>
      <c r="N158" t="str">
        <f>TEXT(DATE(EXPORT[[#This Row],[Year]], A158, 1), "mmmm")</f>
        <v>July</v>
      </c>
    </row>
    <row r="159" spans="1:14" x14ac:dyDescent="0.3">
      <c r="A159">
        <v>1</v>
      </c>
      <c r="B159">
        <v>2023</v>
      </c>
      <c r="C159" t="s">
        <v>28</v>
      </c>
      <c r="D159">
        <v>29</v>
      </c>
      <c r="E159" t="s">
        <v>29</v>
      </c>
      <c r="F159" t="s">
        <v>289</v>
      </c>
      <c r="G159" t="s">
        <v>40</v>
      </c>
      <c r="H159" t="s">
        <v>41</v>
      </c>
      <c r="I159" t="s">
        <v>17</v>
      </c>
      <c r="J159">
        <v>0</v>
      </c>
      <c r="K159">
        <v>2117</v>
      </c>
      <c r="L159">
        <v>173416</v>
      </c>
      <c r="M159" t="str">
        <f t="shared" si="2"/>
        <v>Sea Port</v>
      </c>
      <c r="N159" t="str">
        <f>TEXT(DATE(EXPORT[[#This Row],[Year]], A159, 1), "mmmm")</f>
        <v>January</v>
      </c>
    </row>
    <row r="160" spans="1:14" x14ac:dyDescent="0.3">
      <c r="A160">
        <v>1</v>
      </c>
      <c r="B160">
        <v>2021</v>
      </c>
      <c r="C160" t="s">
        <v>47</v>
      </c>
      <c r="D160">
        <v>7</v>
      </c>
      <c r="E160" t="s">
        <v>48</v>
      </c>
      <c r="F160" t="s">
        <v>265</v>
      </c>
      <c r="G160" t="s">
        <v>206</v>
      </c>
      <c r="H160" t="s">
        <v>207</v>
      </c>
      <c r="I160" t="s">
        <v>17</v>
      </c>
      <c r="J160">
        <v>0</v>
      </c>
      <c r="K160">
        <v>214</v>
      </c>
      <c r="L160">
        <v>15640</v>
      </c>
      <c r="M160" t="str">
        <f t="shared" si="2"/>
        <v>Air Port</v>
      </c>
      <c r="N160" t="str">
        <f>TEXT(DATE(EXPORT[[#This Row],[Year]], A160, 1), "mmmm")</f>
        <v>January</v>
      </c>
    </row>
    <row r="161" spans="1:14" x14ac:dyDescent="0.3">
      <c r="A161">
        <v>11</v>
      </c>
      <c r="B161">
        <v>2019</v>
      </c>
      <c r="C161" t="s">
        <v>132</v>
      </c>
      <c r="D161">
        <v>19</v>
      </c>
      <c r="E161" t="s">
        <v>133</v>
      </c>
      <c r="F161" t="s">
        <v>142</v>
      </c>
      <c r="G161" t="s">
        <v>612</v>
      </c>
      <c r="H161" t="s">
        <v>62</v>
      </c>
      <c r="I161" t="s">
        <v>17</v>
      </c>
      <c r="J161">
        <v>0</v>
      </c>
      <c r="K161">
        <v>24913</v>
      </c>
      <c r="L161">
        <v>1780078</v>
      </c>
      <c r="M161" t="str">
        <f t="shared" si="2"/>
        <v>Air Port</v>
      </c>
      <c r="N161" t="str">
        <f>TEXT(DATE(EXPORT[[#This Row],[Year]], A161, 1), "mmmm")</f>
        <v>November</v>
      </c>
    </row>
    <row r="162" spans="1:14" x14ac:dyDescent="0.3">
      <c r="A162">
        <v>10</v>
      </c>
      <c r="B162">
        <v>2020</v>
      </c>
      <c r="C162" t="s">
        <v>58</v>
      </c>
      <c r="D162">
        <v>27</v>
      </c>
      <c r="E162" t="s">
        <v>290</v>
      </c>
      <c r="F162" t="s">
        <v>615</v>
      </c>
      <c r="G162" t="s">
        <v>36</v>
      </c>
      <c r="H162" t="s">
        <v>37</v>
      </c>
      <c r="I162" t="s">
        <v>17</v>
      </c>
      <c r="J162">
        <v>0</v>
      </c>
      <c r="K162">
        <v>246009</v>
      </c>
      <c r="L162">
        <v>18071335</v>
      </c>
      <c r="M162" t="str">
        <f t="shared" si="2"/>
        <v>SEZ / Industrial Zone</v>
      </c>
      <c r="N162" t="str">
        <f>TEXT(DATE(EXPORT[[#This Row],[Year]], A162, 1), "mmmm")</f>
        <v>October</v>
      </c>
    </row>
    <row r="163" spans="1:14" x14ac:dyDescent="0.3">
      <c r="A163">
        <v>8</v>
      </c>
      <c r="B163">
        <v>2021</v>
      </c>
      <c r="C163" t="s">
        <v>47</v>
      </c>
      <c r="D163">
        <v>7</v>
      </c>
      <c r="E163" t="s">
        <v>51</v>
      </c>
      <c r="F163" t="s">
        <v>145</v>
      </c>
      <c r="G163" t="s">
        <v>146</v>
      </c>
      <c r="H163" t="s">
        <v>147</v>
      </c>
      <c r="I163" t="s">
        <v>17</v>
      </c>
      <c r="J163">
        <v>0</v>
      </c>
      <c r="K163">
        <v>27784</v>
      </c>
      <c r="L163">
        <v>2061162</v>
      </c>
      <c r="M163" t="str">
        <f t="shared" si="2"/>
        <v>ICD / Dry Port</v>
      </c>
      <c r="N163" t="str">
        <f>TEXT(DATE(EXPORT[[#This Row],[Year]], A163, 1), "mmmm")</f>
        <v>August</v>
      </c>
    </row>
    <row r="164" spans="1:14" x14ac:dyDescent="0.3">
      <c r="A164">
        <v>10</v>
      </c>
      <c r="B164">
        <v>2022</v>
      </c>
      <c r="C164" t="s">
        <v>79</v>
      </c>
      <c r="D164">
        <v>9</v>
      </c>
      <c r="E164" t="s">
        <v>292</v>
      </c>
      <c r="F164" t="s">
        <v>105</v>
      </c>
      <c r="G164" t="s">
        <v>140</v>
      </c>
      <c r="H164" t="s">
        <v>614</v>
      </c>
      <c r="I164" t="s">
        <v>17</v>
      </c>
      <c r="J164">
        <v>0</v>
      </c>
      <c r="K164">
        <v>2369</v>
      </c>
      <c r="L164">
        <v>195067</v>
      </c>
      <c r="M164" t="str">
        <f t="shared" si="2"/>
        <v>ICD / Dry Port</v>
      </c>
      <c r="N164" t="str">
        <f>TEXT(DATE(EXPORT[[#This Row],[Year]], A164, 1), "mmmm")</f>
        <v>October</v>
      </c>
    </row>
    <row r="165" spans="1:14" x14ac:dyDescent="0.3">
      <c r="A165">
        <v>2</v>
      </c>
      <c r="B165">
        <v>2020</v>
      </c>
      <c r="C165" t="s">
        <v>42</v>
      </c>
      <c r="D165">
        <v>33</v>
      </c>
      <c r="E165" t="s">
        <v>54</v>
      </c>
      <c r="F165" t="s">
        <v>293</v>
      </c>
      <c r="G165" t="s">
        <v>95</v>
      </c>
      <c r="H165" t="s">
        <v>96</v>
      </c>
      <c r="I165" t="s">
        <v>17</v>
      </c>
      <c r="J165">
        <v>0</v>
      </c>
      <c r="K165">
        <v>37642</v>
      </c>
      <c r="L165">
        <v>2690977</v>
      </c>
      <c r="M165" t="str">
        <f t="shared" si="2"/>
        <v>Other</v>
      </c>
      <c r="N165" t="str">
        <f>TEXT(DATE(EXPORT[[#This Row],[Year]], A165, 1), "mmmm")</f>
        <v>February</v>
      </c>
    </row>
    <row r="166" spans="1:14" x14ac:dyDescent="0.3">
      <c r="A166">
        <v>5</v>
      </c>
      <c r="B166">
        <v>2022</v>
      </c>
      <c r="C166" t="s">
        <v>42</v>
      </c>
      <c r="D166">
        <v>33</v>
      </c>
      <c r="E166" t="s">
        <v>250</v>
      </c>
      <c r="F166" t="s">
        <v>262</v>
      </c>
      <c r="G166" t="s">
        <v>116</v>
      </c>
      <c r="H166" t="s">
        <v>117</v>
      </c>
      <c r="I166" t="s">
        <v>17</v>
      </c>
      <c r="J166">
        <v>0</v>
      </c>
      <c r="K166">
        <v>6767</v>
      </c>
      <c r="L166">
        <v>523228</v>
      </c>
      <c r="M166" t="str">
        <f t="shared" si="2"/>
        <v>ICD / Dry Port</v>
      </c>
      <c r="N166" t="str">
        <f>TEXT(DATE(EXPORT[[#This Row],[Year]], A166, 1), "mmmm")</f>
        <v>May</v>
      </c>
    </row>
    <row r="167" spans="1:14" x14ac:dyDescent="0.3">
      <c r="A167">
        <v>8</v>
      </c>
      <c r="B167">
        <v>2020</v>
      </c>
      <c r="C167" t="s">
        <v>58</v>
      </c>
      <c r="D167">
        <v>27</v>
      </c>
      <c r="E167" t="s">
        <v>125</v>
      </c>
      <c r="F167" t="s">
        <v>159</v>
      </c>
      <c r="G167" t="s">
        <v>121</v>
      </c>
      <c r="H167" t="s">
        <v>122</v>
      </c>
      <c r="I167" t="s">
        <v>17</v>
      </c>
      <c r="J167">
        <v>0</v>
      </c>
      <c r="K167">
        <v>11814</v>
      </c>
      <c r="L167">
        <v>882195</v>
      </c>
      <c r="M167" t="str">
        <f t="shared" si="2"/>
        <v>Air Port</v>
      </c>
      <c r="N167" t="str">
        <f>TEXT(DATE(EXPORT[[#This Row],[Year]], A167, 1), "mmmm")</f>
        <v>August</v>
      </c>
    </row>
    <row r="168" spans="1:14" x14ac:dyDescent="0.3">
      <c r="A168">
        <v>3</v>
      </c>
      <c r="B168">
        <v>2022</v>
      </c>
      <c r="C168" t="s">
        <v>42</v>
      </c>
      <c r="D168">
        <v>33</v>
      </c>
      <c r="E168" t="s">
        <v>176</v>
      </c>
      <c r="F168" t="s">
        <v>180</v>
      </c>
      <c r="G168" t="s">
        <v>116</v>
      </c>
      <c r="H168" t="s">
        <v>117</v>
      </c>
      <c r="I168" t="s">
        <v>17</v>
      </c>
      <c r="J168">
        <v>0</v>
      </c>
      <c r="K168">
        <v>470088</v>
      </c>
      <c r="L168">
        <v>35841639</v>
      </c>
      <c r="M168" t="str">
        <f t="shared" si="2"/>
        <v>Sea Port</v>
      </c>
      <c r="N168" t="str">
        <f>TEXT(DATE(EXPORT[[#This Row],[Year]], A168, 1), "mmmm")</f>
        <v>March</v>
      </c>
    </row>
    <row r="169" spans="1:14" x14ac:dyDescent="0.3">
      <c r="A169">
        <v>6</v>
      </c>
      <c r="B169">
        <v>2019</v>
      </c>
      <c r="C169" t="s">
        <v>47</v>
      </c>
      <c r="D169">
        <v>7</v>
      </c>
      <c r="E169" t="s">
        <v>48</v>
      </c>
      <c r="F169" t="s">
        <v>294</v>
      </c>
      <c r="G169" t="s">
        <v>82</v>
      </c>
      <c r="H169" t="s">
        <v>83</v>
      </c>
      <c r="I169" t="s">
        <v>17</v>
      </c>
      <c r="J169">
        <v>0</v>
      </c>
      <c r="K169">
        <v>6719</v>
      </c>
      <c r="L169">
        <v>466545</v>
      </c>
      <c r="M169" t="str">
        <f t="shared" si="2"/>
        <v>Air Port</v>
      </c>
      <c r="N169" t="str">
        <f>TEXT(DATE(EXPORT[[#This Row],[Year]], A169, 1), "mmmm")</f>
        <v>June</v>
      </c>
    </row>
    <row r="170" spans="1:14" x14ac:dyDescent="0.3">
      <c r="A170">
        <v>6</v>
      </c>
      <c r="B170">
        <v>2019</v>
      </c>
      <c r="C170" t="s">
        <v>42</v>
      </c>
      <c r="D170">
        <v>33</v>
      </c>
      <c r="E170" t="s">
        <v>111</v>
      </c>
      <c r="F170" t="s">
        <v>35</v>
      </c>
      <c r="G170" t="s">
        <v>135</v>
      </c>
      <c r="H170" t="s">
        <v>136</v>
      </c>
      <c r="I170" t="s">
        <v>17</v>
      </c>
      <c r="J170">
        <v>0</v>
      </c>
      <c r="K170">
        <v>471</v>
      </c>
      <c r="L170">
        <v>32676</v>
      </c>
      <c r="M170" t="str">
        <f t="shared" si="2"/>
        <v>Air Port</v>
      </c>
      <c r="N170" t="str">
        <f>TEXT(DATE(EXPORT[[#This Row],[Year]], A170, 1), "mmmm")</f>
        <v>June</v>
      </c>
    </row>
    <row r="171" spans="1:14" x14ac:dyDescent="0.3">
      <c r="A171">
        <v>10</v>
      </c>
      <c r="B171">
        <v>2018</v>
      </c>
      <c r="C171" t="s">
        <v>47</v>
      </c>
      <c r="D171">
        <v>7</v>
      </c>
      <c r="E171" t="s">
        <v>48</v>
      </c>
      <c r="F171" t="s">
        <v>261</v>
      </c>
      <c r="G171" t="s">
        <v>106</v>
      </c>
      <c r="H171" t="s">
        <v>558</v>
      </c>
      <c r="I171" t="s">
        <v>17</v>
      </c>
      <c r="J171">
        <v>0</v>
      </c>
      <c r="K171">
        <v>24253</v>
      </c>
      <c r="L171">
        <v>1785774</v>
      </c>
      <c r="M171" t="str">
        <f t="shared" si="2"/>
        <v>Air Port</v>
      </c>
      <c r="N171" t="str">
        <f>TEXT(DATE(EXPORT[[#This Row],[Year]], A171, 1), "mmmm")</f>
        <v>October</v>
      </c>
    </row>
    <row r="172" spans="1:14" x14ac:dyDescent="0.3">
      <c r="A172">
        <v>2</v>
      </c>
      <c r="B172">
        <v>2019</v>
      </c>
      <c r="C172" t="s">
        <v>23</v>
      </c>
      <c r="D172">
        <v>24</v>
      </c>
      <c r="E172" t="s">
        <v>295</v>
      </c>
      <c r="F172" t="s">
        <v>262</v>
      </c>
      <c r="G172" t="s">
        <v>15</v>
      </c>
      <c r="H172" t="s">
        <v>16</v>
      </c>
      <c r="I172" t="s">
        <v>17</v>
      </c>
      <c r="J172">
        <v>0</v>
      </c>
      <c r="K172">
        <v>31289</v>
      </c>
      <c r="L172">
        <v>2228450</v>
      </c>
      <c r="M172" t="str">
        <f t="shared" si="2"/>
        <v>ICD / Dry Port</v>
      </c>
      <c r="N172" t="str">
        <f>TEXT(DATE(EXPORT[[#This Row],[Year]], A172, 1), "mmmm")</f>
        <v>February</v>
      </c>
    </row>
    <row r="173" spans="1:14" x14ac:dyDescent="0.3">
      <c r="A173">
        <v>12</v>
      </c>
      <c r="B173">
        <v>2019</v>
      </c>
      <c r="C173" t="s">
        <v>58</v>
      </c>
      <c r="D173">
        <v>27</v>
      </c>
      <c r="E173" t="s">
        <v>125</v>
      </c>
      <c r="F173" t="s">
        <v>145</v>
      </c>
      <c r="G173" t="s">
        <v>36</v>
      </c>
      <c r="H173" t="s">
        <v>37</v>
      </c>
      <c r="I173" t="s">
        <v>17</v>
      </c>
      <c r="J173">
        <v>0</v>
      </c>
      <c r="K173">
        <v>10712</v>
      </c>
      <c r="L173">
        <v>762596</v>
      </c>
      <c r="M173" t="str">
        <f t="shared" si="2"/>
        <v>Air Port</v>
      </c>
      <c r="N173" t="str">
        <f>TEXT(DATE(EXPORT[[#This Row],[Year]], A173, 1), "mmmm")</f>
        <v>December</v>
      </c>
    </row>
    <row r="174" spans="1:14" x14ac:dyDescent="0.3">
      <c r="A174">
        <v>2</v>
      </c>
      <c r="B174">
        <v>2019</v>
      </c>
      <c r="C174" t="s">
        <v>42</v>
      </c>
      <c r="D174">
        <v>33</v>
      </c>
      <c r="E174" t="s">
        <v>152</v>
      </c>
      <c r="F174" t="s">
        <v>296</v>
      </c>
      <c r="G174" t="s">
        <v>178</v>
      </c>
      <c r="H174" t="s">
        <v>179</v>
      </c>
      <c r="I174" t="s">
        <v>17</v>
      </c>
      <c r="J174">
        <v>0</v>
      </c>
      <c r="K174">
        <v>4088</v>
      </c>
      <c r="L174">
        <v>291178</v>
      </c>
      <c r="M174" t="str">
        <f t="shared" si="2"/>
        <v>ICD / Dry Port</v>
      </c>
      <c r="N174" t="str">
        <f>TEXT(DATE(EXPORT[[#This Row],[Year]], A174, 1), "mmmm")</f>
        <v>February</v>
      </c>
    </row>
    <row r="175" spans="1:14" x14ac:dyDescent="0.3">
      <c r="A175">
        <v>7</v>
      </c>
      <c r="B175">
        <v>2023</v>
      </c>
      <c r="C175" t="s">
        <v>58</v>
      </c>
      <c r="D175">
        <v>27</v>
      </c>
      <c r="E175" t="s">
        <v>125</v>
      </c>
      <c r="F175" t="s">
        <v>193</v>
      </c>
      <c r="G175" t="s">
        <v>31</v>
      </c>
      <c r="H175" t="s">
        <v>32</v>
      </c>
      <c r="I175" t="s">
        <v>17</v>
      </c>
      <c r="J175">
        <v>0</v>
      </c>
      <c r="K175">
        <v>734561</v>
      </c>
      <c r="L175">
        <v>60345565</v>
      </c>
      <c r="M175" t="str">
        <f t="shared" si="2"/>
        <v>Air Port</v>
      </c>
      <c r="N175" t="str">
        <f>TEXT(DATE(EXPORT[[#This Row],[Year]], A175, 1), "mmmm")</f>
        <v>July</v>
      </c>
    </row>
    <row r="176" spans="1:14" x14ac:dyDescent="0.3">
      <c r="A176">
        <v>1</v>
      </c>
      <c r="B176">
        <v>2022</v>
      </c>
      <c r="C176" t="s">
        <v>23</v>
      </c>
      <c r="D176">
        <v>24</v>
      </c>
      <c r="E176" t="s">
        <v>24</v>
      </c>
      <c r="F176" t="s">
        <v>190</v>
      </c>
      <c r="G176" t="s">
        <v>178</v>
      </c>
      <c r="H176" t="s">
        <v>179</v>
      </c>
      <c r="I176" t="s">
        <v>17</v>
      </c>
      <c r="J176">
        <v>0</v>
      </c>
      <c r="K176">
        <v>1627128</v>
      </c>
      <c r="L176">
        <v>121126044</v>
      </c>
      <c r="M176" t="str">
        <f t="shared" si="2"/>
        <v>Other</v>
      </c>
      <c r="N176" t="str">
        <f>TEXT(DATE(EXPORT[[#This Row],[Year]], A176, 1), "mmmm")</f>
        <v>January</v>
      </c>
    </row>
    <row r="177" spans="1:14" x14ac:dyDescent="0.3">
      <c r="A177">
        <v>6</v>
      </c>
      <c r="B177">
        <v>2022</v>
      </c>
      <c r="C177" t="s">
        <v>73</v>
      </c>
      <c r="D177">
        <v>3</v>
      </c>
      <c r="E177" t="s">
        <v>297</v>
      </c>
      <c r="F177" t="s">
        <v>134</v>
      </c>
      <c r="G177" t="s">
        <v>103</v>
      </c>
      <c r="H177" t="s">
        <v>104</v>
      </c>
      <c r="I177" t="s">
        <v>17</v>
      </c>
      <c r="J177">
        <v>0</v>
      </c>
      <c r="K177">
        <v>103475</v>
      </c>
      <c r="L177">
        <v>8078805</v>
      </c>
      <c r="M177" t="str">
        <f t="shared" si="2"/>
        <v>ICD / Dry Port</v>
      </c>
      <c r="N177" t="str">
        <f>TEXT(DATE(EXPORT[[#This Row],[Year]], A177, 1), "mmmm")</f>
        <v>June</v>
      </c>
    </row>
    <row r="178" spans="1:14" x14ac:dyDescent="0.3">
      <c r="A178">
        <v>7</v>
      </c>
      <c r="B178">
        <v>2022</v>
      </c>
      <c r="C178" t="s">
        <v>33</v>
      </c>
      <c r="D178">
        <v>32</v>
      </c>
      <c r="E178" t="s">
        <v>34</v>
      </c>
      <c r="F178" t="s">
        <v>190</v>
      </c>
      <c r="G178" t="s">
        <v>298</v>
      </c>
      <c r="H178" t="s">
        <v>299</v>
      </c>
      <c r="I178" t="s">
        <v>17</v>
      </c>
      <c r="J178">
        <v>0</v>
      </c>
      <c r="K178">
        <v>6008</v>
      </c>
      <c r="L178">
        <v>478285</v>
      </c>
      <c r="M178" t="str">
        <f t="shared" si="2"/>
        <v>Sea Port</v>
      </c>
      <c r="N178" t="str">
        <f>TEXT(DATE(EXPORT[[#This Row],[Year]], A178, 1), "mmmm")</f>
        <v>July</v>
      </c>
    </row>
    <row r="179" spans="1:14" x14ac:dyDescent="0.3">
      <c r="A179">
        <v>8</v>
      </c>
      <c r="B179">
        <v>2020</v>
      </c>
      <c r="C179" t="s">
        <v>79</v>
      </c>
      <c r="D179">
        <v>9</v>
      </c>
      <c r="E179" t="s">
        <v>162</v>
      </c>
      <c r="F179" t="s">
        <v>247</v>
      </c>
      <c r="G179" t="s">
        <v>15</v>
      </c>
      <c r="H179" t="s">
        <v>16</v>
      </c>
      <c r="I179" t="s">
        <v>17</v>
      </c>
      <c r="J179">
        <v>0</v>
      </c>
      <c r="K179">
        <v>33447</v>
      </c>
      <c r="L179">
        <v>2497518</v>
      </c>
      <c r="M179" t="str">
        <f t="shared" si="2"/>
        <v>ICD / Dry Port</v>
      </c>
      <c r="N179" t="str">
        <f>TEXT(DATE(EXPORT[[#This Row],[Year]], A179, 1), "mmmm")</f>
        <v>August</v>
      </c>
    </row>
    <row r="180" spans="1:14" x14ac:dyDescent="0.3">
      <c r="A180">
        <v>6</v>
      </c>
      <c r="B180">
        <v>2021</v>
      </c>
      <c r="C180" t="s">
        <v>73</v>
      </c>
      <c r="D180">
        <v>3</v>
      </c>
      <c r="E180" t="s">
        <v>181</v>
      </c>
      <c r="F180" t="s">
        <v>241</v>
      </c>
      <c r="G180" t="s">
        <v>173</v>
      </c>
      <c r="H180" t="s">
        <v>174</v>
      </c>
      <c r="I180" t="s">
        <v>17</v>
      </c>
      <c r="J180">
        <v>0</v>
      </c>
      <c r="K180">
        <v>7399</v>
      </c>
      <c r="L180">
        <v>544226</v>
      </c>
      <c r="M180" t="str">
        <f t="shared" si="2"/>
        <v>ICD / Dry Port</v>
      </c>
      <c r="N180" t="str">
        <f>TEXT(DATE(EXPORT[[#This Row],[Year]], A180, 1), "mmmm")</f>
        <v>June</v>
      </c>
    </row>
    <row r="181" spans="1:14" x14ac:dyDescent="0.3">
      <c r="A181">
        <v>6</v>
      </c>
      <c r="B181">
        <v>2018</v>
      </c>
      <c r="C181" t="s">
        <v>18</v>
      </c>
      <c r="D181">
        <v>6</v>
      </c>
      <c r="E181" t="s">
        <v>166</v>
      </c>
      <c r="F181" t="s">
        <v>118</v>
      </c>
      <c r="G181" t="s">
        <v>26</v>
      </c>
      <c r="H181" t="s">
        <v>27</v>
      </c>
      <c r="I181" t="s">
        <v>17</v>
      </c>
      <c r="J181">
        <v>0</v>
      </c>
      <c r="K181">
        <v>893546</v>
      </c>
      <c r="L181">
        <v>60576285</v>
      </c>
      <c r="M181" t="str">
        <f t="shared" si="2"/>
        <v>ICD / Dry Port</v>
      </c>
      <c r="N181" t="str">
        <f>TEXT(DATE(EXPORT[[#This Row],[Year]], A181, 1), "mmmm")</f>
        <v>June</v>
      </c>
    </row>
    <row r="182" spans="1:14" x14ac:dyDescent="0.3">
      <c r="A182">
        <v>8</v>
      </c>
      <c r="B182">
        <v>2018</v>
      </c>
      <c r="C182" t="s">
        <v>23</v>
      </c>
      <c r="D182">
        <v>24</v>
      </c>
      <c r="E182" t="s">
        <v>69</v>
      </c>
      <c r="F182" t="s">
        <v>171</v>
      </c>
      <c r="G182" t="s">
        <v>116</v>
      </c>
      <c r="H182" t="s">
        <v>117</v>
      </c>
      <c r="I182" t="s">
        <v>17</v>
      </c>
      <c r="J182">
        <v>0</v>
      </c>
      <c r="K182">
        <v>480112</v>
      </c>
      <c r="L182">
        <v>33390133</v>
      </c>
      <c r="M182" t="str">
        <f t="shared" si="2"/>
        <v>SEZ / Industrial Zone</v>
      </c>
      <c r="N182" t="str">
        <f>TEXT(DATE(EXPORT[[#This Row],[Year]], A182, 1), "mmmm")</f>
        <v>August</v>
      </c>
    </row>
    <row r="183" spans="1:14" x14ac:dyDescent="0.3">
      <c r="A183">
        <v>8</v>
      </c>
      <c r="B183">
        <v>2023</v>
      </c>
      <c r="C183" t="s">
        <v>42</v>
      </c>
      <c r="D183">
        <v>33</v>
      </c>
      <c r="E183" t="s">
        <v>43</v>
      </c>
      <c r="F183" t="s">
        <v>118</v>
      </c>
      <c r="G183" t="s">
        <v>300</v>
      </c>
      <c r="H183" t="s">
        <v>301</v>
      </c>
      <c r="I183" t="s">
        <v>17</v>
      </c>
      <c r="J183">
        <v>0</v>
      </c>
      <c r="K183">
        <v>95948</v>
      </c>
      <c r="L183">
        <v>7943125</v>
      </c>
      <c r="M183" t="str">
        <f t="shared" si="2"/>
        <v>Sea Port</v>
      </c>
      <c r="N183" t="str">
        <f>TEXT(DATE(EXPORT[[#This Row],[Year]], A183, 1), "mmmm")</f>
        <v>August</v>
      </c>
    </row>
    <row r="184" spans="1:14" x14ac:dyDescent="0.3">
      <c r="A184">
        <v>1</v>
      </c>
      <c r="B184">
        <v>2018</v>
      </c>
      <c r="C184" t="s">
        <v>28</v>
      </c>
      <c r="D184">
        <v>29</v>
      </c>
      <c r="E184" t="s">
        <v>29</v>
      </c>
      <c r="F184" t="s">
        <v>302</v>
      </c>
      <c r="G184" t="s">
        <v>278</v>
      </c>
      <c r="H184" t="s">
        <v>279</v>
      </c>
      <c r="I184" t="s">
        <v>17</v>
      </c>
      <c r="J184">
        <v>0</v>
      </c>
      <c r="K184">
        <v>448</v>
      </c>
      <c r="L184">
        <v>28527</v>
      </c>
      <c r="M184" t="str">
        <f t="shared" si="2"/>
        <v>Sea Port</v>
      </c>
      <c r="N184" t="str">
        <f>TEXT(DATE(EXPORT[[#This Row],[Year]], A184, 1), "mmmm")</f>
        <v>January</v>
      </c>
    </row>
    <row r="185" spans="1:14" x14ac:dyDescent="0.3">
      <c r="A185">
        <v>7</v>
      </c>
      <c r="B185">
        <v>2021</v>
      </c>
      <c r="C185" t="s">
        <v>33</v>
      </c>
      <c r="D185">
        <v>32</v>
      </c>
      <c r="E185" t="s">
        <v>214</v>
      </c>
      <c r="F185" t="s">
        <v>217</v>
      </c>
      <c r="G185" t="s">
        <v>211</v>
      </c>
      <c r="H185" t="s">
        <v>212</v>
      </c>
      <c r="I185" t="s">
        <v>17</v>
      </c>
      <c r="J185">
        <v>0</v>
      </c>
      <c r="K185">
        <v>1176</v>
      </c>
      <c r="L185">
        <v>87629</v>
      </c>
      <c r="M185" t="str">
        <f t="shared" si="2"/>
        <v>Sea Port</v>
      </c>
      <c r="N185" t="str">
        <f>TEXT(DATE(EXPORT[[#This Row],[Year]], A185, 1), "mmmm")</f>
        <v>July</v>
      </c>
    </row>
    <row r="186" spans="1:14" x14ac:dyDescent="0.3">
      <c r="A186">
        <v>5</v>
      </c>
      <c r="B186">
        <v>2023</v>
      </c>
      <c r="C186" t="s">
        <v>73</v>
      </c>
      <c r="D186">
        <v>3</v>
      </c>
      <c r="E186" t="s">
        <v>74</v>
      </c>
      <c r="F186" t="s">
        <v>70</v>
      </c>
      <c r="G186" t="s">
        <v>146</v>
      </c>
      <c r="H186" t="s">
        <v>147</v>
      </c>
      <c r="I186" t="s">
        <v>17</v>
      </c>
      <c r="J186">
        <v>0</v>
      </c>
      <c r="K186">
        <v>37965</v>
      </c>
      <c r="L186">
        <v>3126151</v>
      </c>
      <c r="M186" t="str">
        <f t="shared" si="2"/>
        <v>ICD / Dry Port</v>
      </c>
      <c r="N186" t="str">
        <f>TEXT(DATE(EXPORT[[#This Row],[Year]], A186, 1), "mmmm")</f>
        <v>May</v>
      </c>
    </row>
    <row r="187" spans="1:14" x14ac:dyDescent="0.3">
      <c r="A187">
        <v>1</v>
      </c>
      <c r="B187">
        <v>2023</v>
      </c>
      <c r="C187" t="s">
        <v>47</v>
      </c>
      <c r="D187">
        <v>7</v>
      </c>
      <c r="E187" t="s">
        <v>48</v>
      </c>
      <c r="F187" t="s">
        <v>303</v>
      </c>
      <c r="G187" t="s">
        <v>298</v>
      </c>
      <c r="H187" t="s">
        <v>299</v>
      </c>
      <c r="I187" t="s">
        <v>17</v>
      </c>
      <c r="J187">
        <v>0</v>
      </c>
      <c r="K187">
        <v>6019</v>
      </c>
      <c r="L187">
        <v>492930</v>
      </c>
      <c r="M187" t="str">
        <f t="shared" si="2"/>
        <v>Air Port</v>
      </c>
      <c r="N187" t="str">
        <f>TEXT(DATE(EXPORT[[#This Row],[Year]], A187, 1), "mmmm")</f>
        <v>January</v>
      </c>
    </row>
    <row r="188" spans="1:14" x14ac:dyDescent="0.3">
      <c r="A188">
        <v>2</v>
      </c>
      <c r="B188">
        <v>2019</v>
      </c>
      <c r="C188" t="s">
        <v>79</v>
      </c>
      <c r="D188">
        <v>9</v>
      </c>
      <c r="E188" t="s">
        <v>162</v>
      </c>
      <c r="F188" t="s">
        <v>105</v>
      </c>
      <c r="G188" t="s">
        <v>116</v>
      </c>
      <c r="H188" t="s">
        <v>117</v>
      </c>
      <c r="I188" t="s">
        <v>17</v>
      </c>
      <c r="J188">
        <v>0</v>
      </c>
      <c r="K188">
        <v>15308</v>
      </c>
      <c r="L188">
        <v>1090297</v>
      </c>
      <c r="M188" t="str">
        <f t="shared" si="2"/>
        <v>ICD / Dry Port</v>
      </c>
      <c r="N188" t="str">
        <f>TEXT(DATE(EXPORT[[#This Row],[Year]], A188, 1), "mmmm")</f>
        <v>February</v>
      </c>
    </row>
    <row r="189" spans="1:14" x14ac:dyDescent="0.3">
      <c r="A189">
        <v>11</v>
      </c>
      <c r="B189">
        <v>2021</v>
      </c>
      <c r="C189" t="s">
        <v>12</v>
      </c>
      <c r="D189">
        <v>8</v>
      </c>
      <c r="E189" t="s">
        <v>13</v>
      </c>
      <c r="F189" t="s">
        <v>294</v>
      </c>
      <c r="G189" t="s">
        <v>157</v>
      </c>
      <c r="H189" t="s">
        <v>158</v>
      </c>
      <c r="I189" t="s">
        <v>17</v>
      </c>
      <c r="J189">
        <v>0</v>
      </c>
      <c r="K189">
        <v>41965</v>
      </c>
      <c r="L189">
        <v>3126268</v>
      </c>
      <c r="M189" t="str">
        <f t="shared" si="2"/>
        <v>ICD / Dry Port</v>
      </c>
      <c r="N189" t="str">
        <f>TEXT(DATE(EXPORT[[#This Row],[Year]], A189, 1), "mmmm")</f>
        <v>November</v>
      </c>
    </row>
    <row r="190" spans="1:14" x14ac:dyDescent="0.3">
      <c r="A190">
        <v>2</v>
      </c>
      <c r="B190">
        <v>2021</v>
      </c>
      <c r="C190" t="s">
        <v>23</v>
      </c>
      <c r="D190">
        <v>24</v>
      </c>
      <c r="E190" t="s">
        <v>24</v>
      </c>
      <c r="F190" t="s">
        <v>303</v>
      </c>
      <c r="G190" t="s">
        <v>178</v>
      </c>
      <c r="H190" t="s">
        <v>179</v>
      </c>
      <c r="I190" t="s">
        <v>17</v>
      </c>
      <c r="J190">
        <v>0</v>
      </c>
      <c r="K190">
        <v>414288</v>
      </c>
      <c r="L190">
        <v>30142126</v>
      </c>
      <c r="M190" t="str">
        <f t="shared" si="2"/>
        <v>Other</v>
      </c>
      <c r="N190" t="str">
        <f>TEXT(DATE(EXPORT[[#This Row],[Year]], A190, 1), "mmmm")</f>
        <v>February</v>
      </c>
    </row>
    <row r="191" spans="1:14" x14ac:dyDescent="0.3">
      <c r="A191">
        <v>12</v>
      </c>
      <c r="B191">
        <v>2018</v>
      </c>
      <c r="C191" t="s">
        <v>42</v>
      </c>
      <c r="D191">
        <v>33</v>
      </c>
      <c r="E191" t="s">
        <v>111</v>
      </c>
      <c r="F191" t="s">
        <v>304</v>
      </c>
      <c r="G191" t="s">
        <v>45</v>
      </c>
      <c r="H191" t="s">
        <v>46</v>
      </c>
      <c r="I191" t="s">
        <v>17</v>
      </c>
      <c r="J191">
        <v>0</v>
      </c>
      <c r="K191">
        <v>12</v>
      </c>
      <c r="L191">
        <v>863</v>
      </c>
      <c r="M191" t="str">
        <f t="shared" si="2"/>
        <v>Air Port</v>
      </c>
      <c r="N191" t="str">
        <f>TEXT(DATE(EXPORT[[#This Row],[Year]], A191, 1), "mmmm")</f>
        <v>December</v>
      </c>
    </row>
    <row r="192" spans="1:14" x14ac:dyDescent="0.3">
      <c r="A192">
        <v>8</v>
      </c>
      <c r="B192">
        <v>2018</v>
      </c>
      <c r="C192" t="s">
        <v>58</v>
      </c>
      <c r="D192">
        <v>27</v>
      </c>
      <c r="E192" t="s">
        <v>305</v>
      </c>
      <c r="F192" t="s">
        <v>243</v>
      </c>
      <c r="G192" t="s">
        <v>306</v>
      </c>
      <c r="H192" t="s">
        <v>307</v>
      </c>
      <c r="I192" t="s">
        <v>17</v>
      </c>
      <c r="J192">
        <v>0</v>
      </c>
      <c r="K192">
        <v>2470801</v>
      </c>
      <c r="L192">
        <v>171835568</v>
      </c>
      <c r="M192" t="str">
        <f t="shared" si="2"/>
        <v>Other</v>
      </c>
      <c r="N192" t="str">
        <f>TEXT(DATE(EXPORT[[#This Row],[Year]], A192, 1), "mmmm")</f>
        <v>August</v>
      </c>
    </row>
    <row r="193" spans="1:14" x14ac:dyDescent="0.3">
      <c r="A193">
        <v>5</v>
      </c>
      <c r="B193">
        <v>2019</v>
      </c>
      <c r="C193" t="s">
        <v>132</v>
      </c>
      <c r="D193">
        <v>19</v>
      </c>
      <c r="E193" t="s">
        <v>209</v>
      </c>
      <c r="F193" t="s">
        <v>90</v>
      </c>
      <c r="G193" t="s">
        <v>308</v>
      </c>
      <c r="H193" t="s">
        <v>309</v>
      </c>
      <c r="I193" t="s">
        <v>17</v>
      </c>
      <c r="J193">
        <v>0</v>
      </c>
      <c r="K193">
        <v>1294</v>
      </c>
      <c r="L193">
        <v>90300</v>
      </c>
      <c r="M193" t="str">
        <f t="shared" si="2"/>
        <v>Sea Port</v>
      </c>
      <c r="N193" t="str">
        <f>TEXT(DATE(EXPORT[[#This Row],[Year]], A193, 1), "mmmm")</f>
        <v>May</v>
      </c>
    </row>
    <row r="194" spans="1:14" x14ac:dyDescent="0.3">
      <c r="A194">
        <v>12</v>
      </c>
      <c r="B194">
        <v>2019</v>
      </c>
      <c r="C194" t="s">
        <v>58</v>
      </c>
      <c r="D194">
        <v>27</v>
      </c>
      <c r="E194" t="s">
        <v>59</v>
      </c>
      <c r="F194" t="s">
        <v>184</v>
      </c>
      <c r="G194" t="s">
        <v>239</v>
      </c>
      <c r="H194" t="s">
        <v>240</v>
      </c>
      <c r="I194" t="s">
        <v>17</v>
      </c>
      <c r="J194">
        <v>0</v>
      </c>
      <c r="K194">
        <v>138775</v>
      </c>
      <c r="L194">
        <v>9879756</v>
      </c>
      <c r="M194" t="str">
        <f t="shared" ref="M194:M257" si="3">IF(OR(ISNUMBER(SEARCH("ICD",E194)),ISNUMBER(SEARCH("Dry Port",E194))),"ICD / Dry Port", IF(OR(ISNUMBER(SEARCH("Sea",E194)),ISNUMBER(SEARCH("Port",E194))),"Sea Port", IF(OR(ISNUMBER(SEARCH("Air",E194)),ISNUMBER(SEARCH("Airport",E194))),"Air Port", IF(ISNUMBER(SEARCH("CFS",E194)),"CFS", IF(OR(ISNUMBER(SEARCH("SEZ",E194)),ISNUMBER(SEARCH("EPZ",E194)),ISNUMBER(SEARCH("FTWZ",E194)),ISNUMBER(SEARCH("City",E194)),ISNUMBER(SEARCH("Park",E194))),"SEZ / Industrial Zone", IF(OR(ISNUMBER(SEARCH("Land",E194)),ISNUMBER(SEARCH("LCS",E194)),ISNUMBER(SEARCH("Rly",E194))),"Land Port", "Other"))))))</f>
        <v>Sea Port</v>
      </c>
      <c r="N194" t="str">
        <f>TEXT(DATE(EXPORT[[#This Row],[Year]], A194, 1), "mmmm")</f>
        <v>December</v>
      </c>
    </row>
    <row r="195" spans="1:14" x14ac:dyDescent="0.3">
      <c r="A195">
        <v>12</v>
      </c>
      <c r="B195">
        <v>2022</v>
      </c>
      <c r="C195" t="s">
        <v>58</v>
      </c>
      <c r="D195">
        <v>27</v>
      </c>
      <c r="E195" t="s">
        <v>310</v>
      </c>
      <c r="F195" t="s">
        <v>90</v>
      </c>
      <c r="G195" t="s">
        <v>227</v>
      </c>
      <c r="H195" t="s">
        <v>228</v>
      </c>
      <c r="I195" t="s">
        <v>17</v>
      </c>
      <c r="J195">
        <v>0</v>
      </c>
      <c r="K195">
        <v>7</v>
      </c>
      <c r="L195">
        <v>550</v>
      </c>
      <c r="M195" t="str">
        <f t="shared" si="3"/>
        <v>SEZ / Industrial Zone</v>
      </c>
      <c r="N195" t="str">
        <f>TEXT(DATE(EXPORT[[#This Row],[Year]], A195, 1), "mmmm")</f>
        <v>December</v>
      </c>
    </row>
    <row r="196" spans="1:14" x14ac:dyDescent="0.3">
      <c r="A196">
        <v>1</v>
      </c>
      <c r="B196">
        <v>2019</v>
      </c>
      <c r="C196" t="s">
        <v>275</v>
      </c>
      <c r="D196">
        <v>28</v>
      </c>
      <c r="E196" t="s">
        <v>276</v>
      </c>
      <c r="F196" t="s">
        <v>311</v>
      </c>
      <c r="G196" t="s">
        <v>273</v>
      </c>
      <c r="H196" t="s">
        <v>274</v>
      </c>
      <c r="I196" t="s">
        <v>17</v>
      </c>
      <c r="J196">
        <v>0</v>
      </c>
      <c r="K196">
        <v>88550</v>
      </c>
      <c r="L196">
        <v>6263431</v>
      </c>
      <c r="M196" t="str">
        <f t="shared" si="3"/>
        <v>Other</v>
      </c>
      <c r="N196" t="str">
        <f>TEXT(DATE(EXPORT[[#This Row],[Year]], A196, 1), "mmmm")</f>
        <v>January</v>
      </c>
    </row>
    <row r="197" spans="1:14" x14ac:dyDescent="0.3">
      <c r="A197">
        <v>10</v>
      </c>
      <c r="B197">
        <v>2021</v>
      </c>
      <c r="C197" t="s">
        <v>137</v>
      </c>
      <c r="D197">
        <v>36</v>
      </c>
      <c r="E197" t="s">
        <v>148</v>
      </c>
      <c r="F197" t="s">
        <v>180</v>
      </c>
      <c r="G197" t="s">
        <v>106</v>
      </c>
      <c r="H197" t="s">
        <v>558</v>
      </c>
      <c r="I197" t="s">
        <v>17</v>
      </c>
      <c r="J197">
        <v>0</v>
      </c>
      <c r="K197">
        <v>30507</v>
      </c>
      <c r="L197">
        <v>2285468</v>
      </c>
      <c r="M197" t="str">
        <f t="shared" si="3"/>
        <v>Sea Port</v>
      </c>
      <c r="N197" t="str">
        <f>TEXT(DATE(EXPORT[[#This Row],[Year]], A197, 1), "mmmm")</f>
        <v>October</v>
      </c>
    </row>
    <row r="198" spans="1:14" x14ac:dyDescent="0.3">
      <c r="A198">
        <v>8</v>
      </c>
      <c r="B198">
        <v>2023</v>
      </c>
      <c r="C198" t="s">
        <v>47</v>
      </c>
      <c r="D198">
        <v>7</v>
      </c>
      <c r="E198" t="s">
        <v>48</v>
      </c>
      <c r="F198" t="s">
        <v>263</v>
      </c>
      <c r="G198" t="s">
        <v>173</v>
      </c>
      <c r="H198" t="s">
        <v>174</v>
      </c>
      <c r="I198" t="s">
        <v>17</v>
      </c>
      <c r="J198">
        <v>0</v>
      </c>
      <c r="K198">
        <v>13875</v>
      </c>
      <c r="L198">
        <v>1148678</v>
      </c>
      <c r="M198" t="str">
        <f t="shared" si="3"/>
        <v>Air Port</v>
      </c>
      <c r="N198" t="str">
        <f>TEXT(DATE(EXPORT[[#This Row],[Year]], A198, 1), "mmmm")</f>
        <v>August</v>
      </c>
    </row>
    <row r="199" spans="1:14" x14ac:dyDescent="0.3">
      <c r="A199">
        <v>8</v>
      </c>
      <c r="B199">
        <v>2022</v>
      </c>
      <c r="C199" t="s">
        <v>23</v>
      </c>
      <c r="D199">
        <v>24</v>
      </c>
      <c r="E199" t="s">
        <v>24</v>
      </c>
      <c r="F199" t="s">
        <v>294</v>
      </c>
      <c r="G199" t="s">
        <v>178</v>
      </c>
      <c r="H199" t="s">
        <v>179</v>
      </c>
      <c r="I199" t="s">
        <v>17</v>
      </c>
      <c r="J199">
        <v>0</v>
      </c>
      <c r="K199">
        <v>325378</v>
      </c>
      <c r="L199">
        <v>25885415</v>
      </c>
      <c r="M199" t="str">
        <f t="shared" si="3"/>
        <v>Other</v>
      </c>
      <c r="N199" t="str">
        <f>TEXT(DATE(EXPORT[[#This Row],[Year]], A199, 1), "mmmm")</f>
        <v>August</v>
      </c>
    </row>
    <row r="200" spans="1:14" x14ac:dyDescent="0.3">
      <c r="A200">
        <v>2</v>
      </c>
      <c r="B200">
        <v>2020</v>
      </c>
      <c r="C200" t="s">
        <v>18</v>
      </c>
      <c r="D200">
        <v>6</v>
      </c>
      <c r="E200" t="s">
        <v>97</v>
      </c>
      <c r="F200" t="s">
        <v>14</v>
      </c>
      <c r="G200" t="s">
        <v>15</v>
      </c>
      <c r="H200" t="s">
        <v>16</v>
      </c>
      <c r="I200" t="s">
        <v>17</v>
      </c>
      <c r="J200">
        <v>0</v>
      </c>
      <c r="K200">
        <v>7</v>
      </c>
      <c r="L200">
        <v>488</v>
      </c>
      <c r="M200" t="str">
        <f t="shared" si="3"/>
        <v>ICD / Dry Port</v>
      </c>
      <c r="N200" t="str">
        <f>TEXT(DATE(EXPORT[[#This Row],[Year]], A200, 1), "mmmm")</f>
        <v>February</v>
      </c>
    </row>
    <row r="201" spans="1:14" x14ac:dyDescent="0.3">
      <c r="A201">
        <v>2</v>
      </c>
      <c r="B201">
        <v>2018</v>
      </c>
      <c r="C201" t="s">
        <v>137</v>
      </c>
      <c r="D201">
        <v>36</v>
      </c>
      <c r="E201" t="s">
        <v>148</v>
      </c>
      <c r="F201" t="s">
        <v>142</v>
      </c>
      <c r="G201" t="s">
        <v>52</v>
      </c>
      <c r="H201" t="s">
        <v>53</v>
      </c>
      <c r="I201" t="s">
        <v>17</v>
      </c>
      <c r="J201">
        <v>0</v>
      </c>
      <c r="K201">
        <v>213881</v>
      </c>
      <c r="L201">
        <v>13768316</v>
      </c>
      <c r="M201" t="str">
        <f t="shared" si="3"/>
        <v>Sea Port</v>
      </c>
      <c r="N201" t="str">
        <f>TEXT(DATE(EXPORT[[#This Row],[Year]], A201, 1), "mmmm")</f>
        <v>February</v>
      </c>
    </row>
    <row r="202" spans="1:14" x14ac:dyDescent="0.3">
      <c r="A202">
        <v>12</v>
      </c>
      <c r="B202">
        <v>2019</v>
      </c>
      <c r="C202" t="s">
        <v>12</v>
      </c>
      <c r="D202">
        <v>8</v>
      </c>
      <c r="E202" t="s">
        <v>13</v>
      </c>
      <c r="F202" t="s">
        <v>145</v>
      </c>
      <c r="G202" t="s">
        <v>15</v>
      </c>
      <c r="H202" t="s">
        <v>16</v>
      </c>
      <c r="I202" t="s">
        <v>17</v>
      </c>
      <c r="J202">
        <v>0</v>
      </c>
      <c r="K202">
        <v>16908</v>
      </c>
      <c r="L202">
        <v>1203727</v>
      </c>
      <c r="M202" t="str">
        <f t="shared" si="3"/>
        <v>ICD / Dry Port</v>
      </c>
      <c r="N202" t="str">
        <f>TEXT(DATE(EXPORT[[#This Row],[Year]], A202, 1), "mmmm")</f>
        <v>December</v>
      </c>
    </row>
    <row r="203" spans="1:14" x14ac:dyDescent="0.3">
      <c r="A203">
        <v>3</v>
      </c>
      <c r="B203">
        <v>2021</v>
      </c>
      <c r="C203" t="s">
        <v>28</v>
      </c>
      <c r="D203">
        <v>29</v>
      </c>
      <c r="E203" t="s">
        <v>312</v>
      </c>
      <c r="F203" t="s">
        <v>208</v>
      </c>
      <c r="G203" t="s">
        <v>135</v>
      </c>
      <c r="H203" t="s">
        <v>136</v>
      </c>
      <c r="I203" t="s">
        <v>17</v>
      </c>
      <c r="J203">
        <v>0</v>
      </c>
      <c r="K203">
        <v>806</v>
      </c>
      <c r="L203">
        <v>58707</v>
      </c>
      <c r="M203" t="str">
        <f t="shared" si="3"/>
        <v>Sea Port</v>
      </c>
      <c r="N203" t="str">
        <f>TEXT(DATE(EXPORT[[#This Row],[Year]], A203, 1), "mmmm")</f>
        <v>March</v>
      </c>
    </row>
    <row r="204" spans="1:14" x14ac:dyDescent="0.3">
      <c r="A204">
        <v>4</v>
      </c>
      <c r="B204">
        <v>2022</v>
      </c>
      <c r="C204" t="s">
        <v>73</v>
      </c>
      <c r="D204">
        <v>3</v>
      </c>
      <c r="E204" t="s">
        <v>181</v>
      </c>
      <c r="F204" t="s">
        <v>89</v>
      </c>
      <c r="G204" t="s">
        <v>99</v>
      </c>
      <c r="H204" t="s">
        <v>100</v>
      </c>
      <c r="I204" t="s">
        <v>17</v>
      </c>
      <c r="J204">
        <v>0</v>
      </c>
      <c r="K204">
        <v>364</v>
      </c>
      <c r="L204">
        <v>27689</v>
      </c>
      <c r="M204" t="str">
        <f t="shared" si="3"/>
        <v>ICD / Dry Port</v>
      </c>
      <c r="N204" t="str">
        <f>TEXT(DATE(EXPORT[[#This Row],[Year]], A204, 1), "mmmm")</f>
        <v>April</v>
      </c>
    </row>
    <row r="205" spans="1:14" x14ac:dyDescent="0.3">
      <c r="A205">
        <v>9</v>
      </c>
      <c r="B205">
        <v>2022</v>
      </c>
      <c r="C205" t="s">
        <v>33</v>
      </c>
      <c r="D205">
        <v>32</v>
      </c>
      <c r="E205" t="s">
        <v>34</v>
      </c>
      <c r="F205" t="s">
        <v>153</v>
      </c>
      <c r="G205" t="s">
        <v>95</v>
      </c>
      <c r="H205" t="s">
        <v>96</v>
      </c>
      <c r="I205" t="s">
        <v>17</v>
      </c>
      <c r="J205">
        <v>0</v>
      </c>
      <c r="K205">
        <v>239649</v>
      </c>
      <c r="L205">
        <v>19227437</v>
      </c>
      <c r="M205" t="str">
        <f t="shared" si="3"/>
        <v>Sea Port</v>
      </c>
      <c r="N205" t="str">
        <f>TEXT(DATE(EXPORT[[#This Row],[Year]], A205, 1), "mmmm")</f>
        <v>September</v>
      </c>
    </row>
    <row r="206" spans="1:14" x14ac:dyDescent="0.3">
      <c r="A206">
        <v>1</v>
      </c>
      <c r="B206">
        <v>2023</v>
      </c>
      <c r="C206" t="s">
        <v>42</v>
      </c>
      <c r="D206">
        <v>33</v>
      </c>
      <c r="E206" t="s">
        <v>238</v>
      </c>
      <c r="F206" t="s">
        <v>251</v>
      </c>
      <c r="G206" t="s">
        <v>612</v>
      </c>
      <c r="H206" t="s">
        <v>62</v>
      </c>
      <c r="I206" t="s">
        <v>17</v>
      </c>
      <c r="J206">
        <v>0</v>
      </c>
      <c r="K206">
        <v>121832</v>
      </c>
      <c r="L206">
        <v>9978026</v>
      </c>
      <c r="M206" t="str">
        <f t="shared" si="3"/>
        <v>Sea Port</v>
      </c>
      <c r="N206" t="str">
        <f>TEXT(DATE(EXPORT[[#This Row],[Year]], A206, 1), "mmmm")</f>
        <v>January</v>
      </c>
    </row>
    <row r="207" spans="1:14" x14ac:dyDescent="0.3">
      <c r="A207">
        <v>11</v>
      </c>
      <c r="B207">
        <v>2020</v>
      </c>
      <c r="C207" t="s">
        <v>23</v>
      </c>
      <c r="D207">
        <v>24</v>
      </c>
      <c r="E207" t="s">
        <v>38</v>
      </c>
      <c r="F207" t="s">
        <v>293</v>
      </c>
      <c r="G207" t="s">
        <v>278</v>
      </c>
      <c r="H207" t="s">
        <v>279</v>
      </c>
      <c r="I207" t="s">
        <v>17</v>
      </c>
      <c r="J207">
        <v>0</v>
      </c>
      <c r="K207">
        <v>891</v>
      </c>
      <c r="L207">
        <v>66105</v>
      </c>
      <c r="M207" t="str">
        <f t="shared" si="3"/>
        <v>ICD / Dry Port</v>
      </c>
      <c r="N207" t="str">
        <f>TEXT(DATE(EXPORT[[#This Row],[Year]], A207, 1), "mmmm")</f>
        <v>November</v>
      </c>
    </row>
    <row r="208" spans="1:14" x14ac:dyDescent="0.3">
      <c r="A208">
        <v>5</v>
      </c>
      <c r="B208">
        <v>2021</v>
      </c>
      <c r="C208" t="s">
        <v>47</v>
      </c>
      <c r="D208">
        <v>7</v>
      </c>
      <c r="E208" t="s">
        <v>48</v>
      </c>
      <c r="F208" t="s">
        <v>30</v>
      </c>
      <c r="G208" t="s">
        <v>26</v>
      </c>
      <c r="H208" t="s">
        <v>27</v>
      </c>
      <c r="I208" t="s">
        <v>17</v>
      </c>
      <c r="J208">
        <v>0</v>
      </c>
      <c r="K208">
        <v>675010</v>
      </c>
      <c r="L208">
        <v>49456452</v>
      </c>
      <c r="M208" t="str">
        <f t="shared" si="3"/>
        <v>Air Port</v>
      </c>
      <c r="N208" t="str">
        <f>TEXT(DATE(EXPORT[[#This Row],[Year]], A208, 1), "mmmm")</f>
        <v>May</v>
      </c>
    </row>
    <row r="209" spans="1:14" x14ac:dyDescent="0.3">
      <c r="A209">
        <v>5</v>
      </c>
      <c r="B209">
        <v>2021</v>
      </c>
      <c r="C209" t="s">
        <v>58</v>
      </c>
      <c r="D209">
        <v>27</v>
      </c>
      <c r="E209" t="s">
        <v>125</v>
      </c>
      <c r="F209" t="s">
        <v>313</v>
      </c>
      <c r="G209" t="s">
        <v>56</v>
      </c>
      <c r="H209" t="s">
        <v>57</v>
      </c>
      <c r="I209" t="s">
        <v>17</v>
      </c>
      <c r="J209">
        <v>0</v>
      </c>
      <c r="K209">
        <v>208</v>
      </c>
      <c r="L209">
        <v>15263</v>
      </c>
      <c r="M209" t="str">
        <f t="shared" si="3"/>
        <v>Air Port</v>
      </c>
      <c r="N209" t="str">
        <f>TEXT(DATE(EXPORT[[#This Row],[Year]], A209, 1), "mmmm")</f>
        <v>May</v>
      </c>
    </row>
    <row r="210" spans="1:14" x14ac:dyDescent="0.3">
      <c r="A210">
        <v>2</v>
      </c>
      <c r="B210">
        <v>2021</v>
      </c>
      <c r="C210" t="s">
        <v>58</v>
      </c>
      <c r="D210">
        <v>27</v>
      </c>
      <c r="E210" t="s">
        <v>125</v>
      </c>
      <c r="F210" t="s">
        <v>268</v>
      </c>
      <c r="G210" t="s">
        <v>95</v>
      </c>
      <c r="H210" t="s">
        <v>96</v>
      </c>
      <c r="I210" t="s">
        <v>17</v>
      </c>
      <c r="J210">
        <v>0</v>
      </c>
      <c r="K210">
        <v>549</v>
      </c>
      <c r="L210">
        <v>39960</v>
      </c>
      <c r="M210" t="str">
        <f t="shared" si="3"/>
        <v>Air Port</v>
      </c>
      <c r="N210" t="str">
        <f>TEXT(DATE(EXPORT[[#This Row],[Year]], A210, 1), "mmmm")</f>
        <v>February</v>
      </c>
    </row>
    <row r="211" spans="1:14" x14ac:dyDescent="0.3">
      <c r="A211">
        <v>12</v>
      </c>
      <c r="B211">
        <v>2022</v>
      </c>
      <c r="C211" t="s">
        <v>58</v>
      </c>
      <c r="D211">
        <v>27</v>
      </c>
      <c r="E211" t="s">
        <v>216</v>
      </c>
      <c r="F211" t="s">
        <v>142</v>
      </c>
      <c r="G211" t="s">
        <v>26</v>
      </c>
      <c r="H211" t="s">
        <v>27</v>
      </c>
      <c r="I211" t="s">
        <v>17</v>
      </c>
      <c r="J211">
        <v>0</v>
      </c>
      <c r="K211">
        <v>747</v>
      </c>
      <c r="L211">
        <v>61601</v>
      </c>
      <c r="M211" t="str">
        <f t="shared" si="3"/>
        <v>Other</v>
      </c>
      <c r="N211" t="str">
        <f>TEXT(DATE(EXPORT[[#This Row],[Year]], A211, 1), "mmmm")</f>
        <v>December</v>
      </c>
    </row>
    <row r="212" spans="1:14" x14ac:dyDescent="0.3">
      <c r="A212">
        <v>5</v>
      </c>
      <c r="B212">
        <v>2022</v>
      </c>
      <c r="C212" t="s">
        <v>33</v>
      </c>
      <c r="D212">
        <v>32</v>
      </c>
      <c r="E212" t="s">
        <v>214</v>
      </c>
      <c r="F212" t="s">
        <v>98</v>
      </c>
      <c r="G212" t="s">
        <v>106</v>
      </c>
      <c r="H212" t="s">
        <v>558</v>
      </c>
      <c r="I212" t="s">
        <v>17</v>
      </c>
      <c r="J212">
        <v>0</v>
      </c>
      <c r="K212">
        <v>123905</v>
      </c>
      <c r="L212">
        <v>9580235</v>
      </c>
      <c r="M212" t="str">
        <f t="shared" si="3"/>
        <v>Sea Port</v>
      </c>
      <c r="N212" t="str">
        <f>TEXT(DATE(EXPORT[[#This Row],[Year]], A212, 1), "mmmm")</f>
        <v>May</v>
      </c>
    </row>
    <row r="213" spans="1:14" x14ac:dyDescent="0.3">
      <c r="A213">
        <v>6</v>
      </c>
      <c r="B213">
        <v>2021</v>
      </c>
      <c r="C213" t="s">
        <v>28</v>
      </c>
      <c r="D213">
        <v>29</v>
      </c>
      <c r="E213" t="s">
        <v>29</v>
      </c>
      <c r="F213" t="s">
        <v>153</v>
      </c>
      <c r="G213" t="s">
        <v>86</v>
      </c>
      <c r="H213" t="s">
        <v>87</v>
      </c>
      <c r="I213" t="s">
        <v>17</v>
      </c>
      <c r="J213">
        <v>0</v>
      </c>
      <c r="K213">
        <v>681924</v>
      </c>
      <c r="L213">
        <v>50161149</v>
      </c>
      <c r="M213" t="str">
        <f t="shared" si="3"/>
        <v>Sea Port</v>
      </c>
      <c r="N213" t="str">
        <f>TEXT(DATE(EXPORT[[#This Row],[Year]], A213, 1), "mmmm")</f>
        <v>June</v>
      </c>
    </row>
    <row r="214" spans="1:14" x14ac:dyDescent="0.3">
      <c r="A214">
        <v>5</v>
      </c>
      <c r="B214">
        <v>2022</v>
      </c>
      <c r="C214" t="s">
        <v>73</v>
      </c>
      <c r="D214">
        <v>3</v>
      </c>
      <c r="E214" t="s">
        <v>314</v>
      </c>
      <c r="F214" t="s">
        <v>190</v>
      </c>
      <c r="G214" t="s">
        <v>211</v>
      </c>
      <c r="H214" t="s">
        <v>212</v>
      </c>
      <c r="I214" t="s">
        <v>17</v>
      </c>
      <c r="J214">
        <v>0</v>
      </c>
      <c r="K214">
        <v>43</v>
      </c>
      <c r="L214">
        <v>3345</v>
      </c>
      <c r="M214" t="str">
        <f t="shared" si="3"/>
        <v>ICD / Dry Port</v>
      </c>
      <c r="N214" t="str">
        <f>TEXT(DATE(EXPORT[[#This Row],[Year]], A214, 1), "mmmm")</f>
        <v>May</v>
      </c>
    </row>
    <row r="215" spans="1:14" x14ac:dyDescent="0.3">
      <c r="A215">
        <v>5</v>
      </c>
      <c r="B215">
        <v>2023</v>
      </c>
      <c r="C215" t="s">
        <v>58</v>
      </c>
      <c r="D215">
        <v>27</v>
      </c>
      <c r="E215" t="s">
        <v>125</v>
      </c>
      <c r="F215" t="s">
        <v>315</v>
      </c>
      <c r="G215" t="s">
        <v>40</v>
      </c>
      <c r="H215" t="s">
        <v>41</v>
      </c>
      <c r="I215" t="s">
        <v>17</v>
      </c>
      <c r="J215">
        <v>0</v>
      </c>
      <c r="K215">
        <v>2193</v>
      </c>
      <c r="L215">
        <v>180612</v>
      </c>
      <c r="M215" t="str">
        <f t="shared" si="3"/>
        <v>Air Port</v>
      </c>
      <c r="N215" t="str">
        <f>TEXT(DATE(EXPORT[[#This Row],[Year]], A215, 1), "mmmm")</f>
        <v>May</v>
      </c>
    </row>
    <row r="216" spans="1:14" x14ac:dyDescent="0.3">
      <c r="A216">
        <v>5</v>
      </c>
      <c r="B216">
        <v>2021</v>
      </c>
      <c r="C216" t="s">
        <v>33</v>
      </c>
      <c r="D216">
        <v>32</v>
      </c>
      <c r="E216" t="s">
        <v>316</v>
      </c>
      <c r="F216" t="s">
        <v>172</v>
      </c>
      <c r="G216" t="s">
        <v>106</v>
      </c>
      <c r="H216" t="s">
        <v>558</v>
      </c>
      <c r="I216" t="s">
        <v>17</v>
      </c>
      <c r="J216">
        <v>0</v>
      </c>
      <c r="K216">
        <v>68248</v>
      </c>
      <c r="L216">
        <v>5000360</v>
      </c>
      <c r="M216" t="str">
        <f t="shared" si="3"/>
        <v>SEZ / Industrial Zone</v>
      </c>
      <c r="N216" t="str">
        <f>TEXT(DATE(EXPORT[[#This Row],[Year]], A216, 1), "mmmm")</f>
        <v>May</v>
      </c>
    </row>
    <row r="217" spans="1:14" x14ac:dyDescent="0.3">
      <c r="A217">
        <v>2</v>
      </c>
      <c r="B217">
        <v>2023</v>
      </c>
      <c r="C217" t="s">
        <v>58</v>
      </c>
      <c r="D217">
        <v>27</v>
      </c>
      <c r="E217" t="s">
        <v>125</v>
      </c>
      <c r="F217" t="s">
        <v>317</v>
      </c>
      <c r="G217" t="s">
        <v>612</v>
      </c>
      <c r="H217" t="s">
        <v>62</v>
      </c>
      <c r="I217" t="s">
        <v>17</v>
      </c>
      <c r="J217">
        <v>0</v>
      </c>
      <c r="K217">
        <v>259063</v>
      </c>
      <c r="L217">
        <v>21400777</v>
      </c>
      <c r="M217" t="str">
        <f t="shared" si="3"/>
        <v>Air Port</v>
      </c>
      <c r="N217" t="str">
        <f>TEXT(DATE(EXPORT[[#This Row],[Year]], A217, 1), "mmmm")</f>
        <v>February</v>
      </c>
    </row>
    <row r="218" spans="1:14" x14ac:dyDescent="0.3">
      <c r="A218">
        <v>1</v>
      </c>
      <c r="B218">
        <v>2019</v>
      </c>
      <c r="C218" t="s">
        <v>28</v>
      </c>
      <c r="D218">
        <v>29</v>
      </c>
      <c r="E218" t="s">
        <v>29</v>
      </c>
      <c r="F218" t="s">
        <v>25</v>
      </c>
      <c r="G218" t="s">
        <v>95</v>
      </c>
      <c r="H218" t="s">
        <v>96</v>
      </c>
      <c r="I218" t="s">
        <v>17</v>
      </c>
      <c r="J218">
        <v>0</v>
      </c>
      <c r="K218">
        <v>28213</v>
      </c>
      <c r="L218">
        <v>1995553</v>
      </c>
      <c r="M218" t="str">
        <f t="shared" si="3"/>
        <v>Sea Port</v>
      </c>
      <c r="N218" t="str">
        <f>TEXT(DATE(EXPORT[[#This Row],[Year]], A218, 1), "mmmm")</f>
        <v>January</v>
      </c>
    </row>
    <row r="219" spans="1:14" x14ac:dyDescent="0.3">
      <c r="A219">
        <v>10</v>
      </c>
      <c r="B219">
        <v>2019</v>
      </c>
      <c r="C219" t="s">
        <v>73</v>
      </c>
      <c r="D219">
        <v>3</v>
      </c>
      <c r="E219" t="s">
        <v>297</v>
      </c>
      <c r="F219" t="s">
        <v>35</v>
      </c>
      <c r="G219" t="s">
        <v>168</v>
      </c>
      <c r="H219" t="s">
        <v>169</v>
      </c>
      <c r="I219" t="s">
        <v>17</v>
      </c>
      <c r="J219">
        <v>0</v>
      </c>
      <c r="K219">
        <v>72969</v>
      </c>
      <c r="L219">
        <v>5183657</v>
      </c>
      <c r="M219" t="str">
        <f t="shared" si="3"/>
        <v>ICD / Dry Port</v>
      </c>
      <c r="N219" t="str">
        <f>TEXT(DATE(EXPORT[[#This Row],[Year]], A219, 1), "mmmm")</f>
        <v>October</v>
      </c>
    </row>
    <row r="220" spans="1:14" x14ac:dyDescent="0.3">
      <c r="A220">
        <v>8</v>
      </c>
      <c r="B220">
        <v>2023</v>
      </c>
      <c r="C220" t="s">
        <v>47</v>
      </c>
      <c r="D220">
        <v>7</v>
      </c>
      <c r="E220" t="s">
        <v>51</v>
      </c>
      <c r="F220" t="s">
        <v>198</v>
      </c>
      <c r="G220" t="s">
        <v>140</v>
      </c>
      <c r="H220" t="s">
        <v>614</v>
      </c>
      <c r="I220" t="s">
        <v>17</v>
      </c>
      <c r="J220">
        <v>0</v>
      </c>
      <c r="K220">
        <v>18458</v>
      </c>
      <c r="L220">
        <v>1528020</v>
      </c>
      <c r="M220" t="str">
        <f t="shared" si="3"/>
        <v>ICD / Dry Port</v>
      </c>
      <c r="N220" t="str">
        <f>TEXT(DATE(EXPORT[[#This Row],[Year]], A220, 1), "mmmm")</f>
        <v>August</v>
      </c>
    </row>
    <row r="221" spans="1:14" x14ac:dyDescent="0.3">
      <c r="A221">
        <v>6</v>
      </c>
      <c r="B221">
        <v>2020</v>
      </c>
      <c r="C221" t="s">
        <v>132</v>
      </c>
      <c r="D221">
        <v>19</v>
      </c>
      <c r="E221" t="s">
        <v>209</v>
      </c>
      <c r="F221" t="s">
        <v>194</v>
      </c>
      <c r="G221" t="s">
        <v>612</v>
      </c>
      <c r="H221" t="s">
        <v>62</v>
      </c>
      <c r="I221" t="s">
        <v>17</v>
      </c>
      <c r="J221">
        <v>0</v>
      </c>
      <c r="K221">
        <v>341762</v>
      </c>
      <c r="L221">
        <v>25880506</v>
      </c>
      <c r="M221" t="str">
        <f t="shared" si="3"/>
        <v>Sea Port</v>
      </c>
      <c r="N221" t="str">
        <f>TEXT(DATE(EXPORT[[#This Row],[Year]], A221, 1), "mmmm")</f>
        <v>June</v>
      </c>
    </row>
    <row r="222" spans="1:14" x14ac:dyDescent="0.3">
      <c r="A222">
        <v>7</v>
      </c>
      <c r="B222">
        <v>2019</v>
      </c>
      <c r="C222" t="s">
        <v>28</v>
      </c>
      <c r="D222">
        <v>29</v>
      </c>
      <c r="E222" t="s">
        <v>29</v>
      </c>
      <c r="F222" t="s">
        <v>145</v>
      </c>
      <c r="G222" t="s">
        <v>318</v>
      </c>
      <c r="H222" t="s">
        <v>319</v>
      </c>
      <c r="I222" t="s">
        <v>17</v>
      </c>
      <c r="J222">
        <v>0</v>
      </c>
      <c r="K222">
        <v>3535</v>
      </c>
      <c r="L222">
        <v>243211</v>
      </c>
      <c r="M222" t="str">
        <f t="shared" si="3"/>
        <v>Sea Port</v>
      </c>
      <c r="N222" t="str">
        <f>TEXT(DATE(EXPORT[[#This Row],[Year]], A222, 1), "mmmm")</f>
        <v>July</v>
      </c>
    </row>
    <row r="223" spans="1:14" x14ac:dyDescent="0.3">
      <c r="A223">
        <v>4</v>
      </c>
      <c r="B223">
        <v>2023</v>
      </c>
      <c r="C223" t="s">
        <v>58</v>
      </c>
      <c r="D223">
        <v>27</v>
      </c>
      <c r="E223" t="s">
        <v>59</v>
      </c>
      <c r="F223" t="s">
        <v>320</v>
      </c>
      <c r="G223" t="s">
        <v>173</v>
      </c>
      <c r="H223" t="s">
        <v>174</v>
      </c>
      <c r="I223" t="s">
        <v>17</v>
      </c>
      <c r="J223">
        <v>0</v>
      </c>
      <c r="K223">
        <v>42170</v>
      </c>
      <c r="L223">
        <v>3458787</v>
      </c>
      <c r="M223" t="str">
        <f t="shared" si="3"/>
        <v>Sea Port</v>
      </c>
      <c r="N223" t="str">
        <f>TEXT(DATE(EXPORT[[#This Row],[Year]], A223, 1), "mmmm")</f>
        <v>April</v>
      </c>
    </row>
    <row r="224" spans="1:14" x14ac:dyDescent="0.3">
      <c r="A224">
        <v>5</v>
      </c>
      <c r="B224">
        <v>2019</v>
      </c>
      <c r="C224" t="s">
        <v>47</v>
      </c>
      <c r="D224">
        <v>7</v>
      </c>
      <c r="E224" t="s">
        <v>51</v>
      </c>
      <c r="F224" t="s">
        <v>190</v>
      </c>
      <c r="G224" t="s">
        <v>187</v>
      </c>
      <c r="H224" t="s">
        <v>188</v>
      </c>
      <c r="I224" t="s">
        <v>17</v>
      </c>
      <c r="J224">
        <v>0</v>
      </c>
      <c r="K224">
        <v>124083</v>
      </c>
      <c r="L224">
        <v>8657635</v>
      </c>
      <c r="M224" t="str">
        <f t="shared" si="3"/>
        <v>ICD / Dry Port</v>
      </c>
      <c r="N224" t="str">
        <f>TEXT(DATE(EXPORT[[#This Row],[Year]], A224, 1), "mmmm")</f>
        <v>May</v>
      </c>
    </row>
    <row r="225" spans="1:14" x14ac:dyDescent="0.3">
      <c r="A225">
        <v>8</v>
      </c>
      <c r="B225">
        <v>2018</v>
      </c>
      <c r="C225" t="s">
        <v>23</v>
      </c>
      <c r="D225">
        <v>24</v>
      </c>
      <c r="E225" t="s">
        <v>218</v>
      </c>
      <c r="F225" t="s">
        <v>321</v>
      </c>
      <c r="G225" t="s">
        <v>86</v>
      </c>
      <c r="H225" t="s">
        <v>87</v>
      </c>
      <c r="I225" t="s">
        <v>17</v>
      </c>
      <c r="J225">
        <v>0</v>
      </c>
      <c r="K225">
        <v>17141</v>
      </c>
      <c r="L225">
        <v>1192122</v>
      </c>
      <c r="M225" t="str">
        <f t="shared" si="3"/>
        <v>Air Port</v>
      </c>
      <c r="N225" t="str">
        <f>TEXT(DATE(EXPORT[[#This Row],[Year]], A225, 1), "mmmm")</f>
        <v>August</v>
      </c>
    </row>
    <row r="226" spans="1:14" x14ac:dyDescent="0.3">
      <c r="A226">
        <v>10</v>
      </c>
      <c r="B226">
        <v>2020</v>
      </c>
      <c r="C226" t="s">
        <v>23</v>
      </c>
      <c r="D226">
        <v>24</v>
      </c>
      <c r="E226" t="s">
        <v>24</v>
      </c>
      <c r="F226" t="s">
        <v>289</v>
      </c>
      <c r="G226" t="s">
        <v>77</v>
      </c>
      <c r="H226" t="s">
        <v>78</v>
      </c>
      <c r="I226" t="s">
        <v>17</v>
      </c>
      <c r="J226">
        <v>0</v>
      </c>
      <c r="K226">
        <v>52053</v>
      </c>
      <c r="L226">
        <v>3823731</v>
      </c>
      <c r="M226" t="str">
        <f t="shared" si="3"/>
        <v>Other</v>
      </c>
      <c r="N226" t="str">
        <f>TEXT(DATE(EXPORT[[#This Row],[Year]], A226, 1), "mmmm")</f>
        <v>October</v>
      </c>
    </row>
    <row r="227" spans="1:14" x14ac:dyDescent="0.3">
      <c r="A227">
        <v>7</v>
      </c>
      <c r="B227">
        <v>2022</v>
      </c>
      <c r="C227" t="s">
        <v>73</v>
      </c>
      <c r="D227">
        <v>3</v>
      </c>
      <c r="E227" t="s">
        <v>74</v>
      </c>
      <c r="F227" t="s">
        <v>229</v>
      </c>
      <c r="G227" t="s">
        <v>157</v>
      </c>
      <c r="H227" t="s">
        <v>158</v>
      </c>
      <c r="I227" t="s">
        <v>17</v>
      </c>
      <c r="J227">
        <v>0</v>
      </c>
      <c r="K227">
        <v>1134</v>
      </c>
      <c r="L227">
        <v>90299</v>
      </c>
      <c r="M227" t="str">
        <f t="shared" si="3"/>
        <v>ICD / Dry Port</v>
      </c>
      <c r="N227" t="str">
        <f>TEXT(DATE(EXPORT[[#This Row],[Year]], A227, 1), "mmmm")</f>
        <v>July</v>
      </c>
    </row>
    <row r="228" spans="1:14" x14ac:dyDescent="0.3">
      <c r="A228">
        <v>10</v>
      </c>
      <c r="B228">
        <v>2020</v>
      </c>
      <c r="C228" t="s">
        <v>47</v>
      </c>
      <c r="D228">
        <v>7</v>
      </c>
      <c r="E228" t="s">
        <v>48</v>
      </c>
      <c r="F228" t="s">
        <v>265</v>
      </c>
      <c r="G228" t="s">
        <v>282</v>
      </c>
      <c r="H228" t="s">
        <v>283</v>
      </c>
      <c r="I228" t="s">
        <v>17</v>
      </c>
      <c r="J228">
        <v>0</v>
      </c>
      <c r="K228">
        <v>8709</v>
      </c>
      <c r="L228">
        <v>639731</v>
      </c>
      <c r="M228" t="str">
        <f t="shared" si="3"/>
        <v>Air Port</v>
      </c>
      <c r="N228" t="str">
        <f>TEXT(DATE(EXPORT[[#This Row],[Year]], A228, 1), "mmmm")</f>
        <v>October</v>
      </c>
    </row>
    <row r="229" spans="1:14" x14ac:dyDescent="0.3">
      <c r="A229">
        <v>9</v>
      </c>
      <c r="B229">
        <v>2018</v>
      </c>
      <c r="C229" t="s">
        <v>58</v>
      </c>
      <c r="D229">
        <v>27</v>
      </c>
      <c r="E229" t="s">
        <v>59</v>
      </c>
      <c r="F229" t="s">
        <v>20</v>
      </c>
      <c r="G229" t="s">
        <v>284</v>
      </c>
      <c r="H229" t="s">
        <v>285</v>
      </c>
      <c r="I229" t="s">
        <v>17</v>
      </c>
      <c r="J229">
        <v>0</v>
      </c>
      <c r="K229">
        <v>42730</v>
      </c>
      <c r="L229">
        <v>3085742</v>
      </c>
      <c r="M229" t="str">
        <f t="shared" si="3"/>
        <v>Sea Port</v>
      </c>
      <c r="N229" t="str">
        <f>TEXT(DATE(EXPORT[[#This Row],[Year]], A229, 1), "mmmm")</f>
        <v>September</v>
      </c>
    </row>
    <row r="230" spans="1:14" x14ac:dyDescent="0.3">
      <c r="A230">
        <v>3</v>
      </c>
      <c r="B230">
        <v>2021</v>
      </c>
      <c r="C230" t="s">
        <v>58</v>
      </c>
      <c r="D230">
        <v>27</v>
      </c>
      <c r="E230" t="s">
        <v>129</v>
      </c>
      <c r="F230" t="s">
        <v>105</v>
      </c>
      <c r="G230" t="s">
        <v>86</v>
      </c>
      <c r="H230" t="s">
        <v>87</v>
      </c>
      <c r="I230" t="s">
        <v>17</v>
      </c>
      <c r="J230">
        <v>0</v>
      </c>
      <c r="K230">
        <v>14032</v>
      </c>
      <c r="L230">
        <v>1021456</v>
      </c>
      <c r="M230" t="str">
        <f t="shared" si="3"/>
        <v>ICD / Dry Port</v>
      </c>
      <c r="N230" t="str">
        <f>TEXT(DATE(EXPORT[[#This Row],[Year]], A230, 1), "mmmm")</f>
        <v>March</v>
      </c>
    </row>
    <row r="231" spans="1:14" x14ac:dyDescent="0.3">
      <c r="A231">
        <v>8</v>
      </c>
      <c r="B231">
        <v>2019</v>
      </c>
      <c r="C231" t="s">
        <v>18</v>
      </c>
      <c r="D231">
        <v>6</v>
      </c>
      <c r="E231" t="s">
        <v>19</v>
      </c>
      <c r="F231" t="s">
        <v>134</v>
      </c>
      <c r="G231" t="s">
        <v>146</v>
      </c>
      <c r="H231" t="s">
        <v>147</v>
      </c>
      <c r="I231" t="s">
        <v>17</v>
      </c>
      <c r="J231">
        <v>0</v>
      </c>
      <c r="K231">
        <v>121018</v>
      </c>
      <c r="L231">
        <v>8609885</v>
      </c>
      <c r="M231" t="str">
        <f t="shared" si="3"/>
        <v>ICD / Dry Port</v>
      </c>
      <c r="N231" t="str">
        <f>TEXT(DATE(EXPORT[[#This Row],[Year]], A231, 1), "mmmm")</f>
        <v>August</v>
      </c>
    </row>
    <row r="232" spans="1:14" x14ac:dyDescent="0.3">
      <c r="A232">
        <v>10</v>
      </c>
      <c r="B232">
        <v>2021</v>
      </c>
      <c r="C232" t="s">
        <v>58</v>
      </c>
      <c r="D232">
        <v>27</v>
      </c>
      <c r="E232" t="s">
        <v>216</v>
      </c>
      <c r="F232" t="s">
        <v>60</v>
      </c>
      <c r="G232" t="s">
        <v>300</v>
      </c>
      <c r="H232" t="s">
        <v>301</v>
      </c>
      <c r="I232" t="s">
        <v>17</v>
      </c>
      <c r="J232">
        <v>0</v>
      </c>
      <c r="K232">
        <v>32551</v>
      </c>
      <c r="L232">
        <v>2438532</v>
      </c>
      <c r="M232" t="str">
        <f t="shared" si="3"/>
        <v>Other</v>
      </c>
      <c r="N232" t="str">
        <f>TEXT(DATE(EXPORT[[#This Row],[Year]], A232, 1), "mmmm")</f>
        <v>October</v>
      </c>
    </row>
    <row r="233" spans="1:14" x14ac:dyDescent="0.3">
      <c r="A233">
        <v>6</v>
      </c>
      <c r="B233">
        <v>2021</v>
      </c>
      <c r="C233" t="s">
        <v>23</v>
      </c>
      <c r="D233">
        <v>24</v>
      </c>
      <c r="E233" t="s">
        <v>218</v>
      </c>
      <c r="F233" t="s">
        <v>25</v>
      </c>
      <c r="G233" t="s">
        <v>195</v>
      </c>
      <c r="H233" t="s">
        <v>196</v>
      </c>
      <c r="I233" t="s">
        <v>17</v>
      </c>
      <c r="J233">
        <v>0</v>
      </c>
      <c r="K233">
        <v>415</v>
      </c>
      <c r="L233">
        <v>30562</v>
      </c>
      <c r="M233" t="str">
        <f t="shared" si="3"/>
        <v>Air Port</v>
      </c>
      <c r="N233" t="str">
        <f>TEXT(DATE(EXPORT[[#This Row],[Year]], A233, 1), "mmmm")</f>
        <v>June</v>
      </c>
    </row>
    <row r="234" spans="1:14" x14ac:dyDescent="0.3">
      <c r="A234">
        <v>8</v>
      </c>
      <c r="B234">
        <v>2023</v>
      </c>
      <c r="C234" t="s">
        <v>137</v>
      </c>
      <c r="D234">
        <v>36</v>
      </c>
      <c r="E234" t="s">
        <v>138</v>
      </c>
      <c r="F234" t="s">
        <v>263</v>
      </c>
      <c r="G234" t="s">
        <v>206</v>
      </c>
      <c r="H234" t="s">
        <v>207</v>
      </c>
      <c r="I234" t="s">
        <v>17</v>
      </c>
      <c r="J234">
        <v>0</v>
      </c>
      <c r="K234">
        <v>327</v>
      </c>
      <c r="L234">
        <v>27109</v>
      </c>
      <c r="M234" t="str">
        <f t="shared" si="3"/>
        <v>ICD / Dry Port</v>
      </c>
      <c r="N234" t="str">
        <f>TEXT(DATE(EXPORT[[#This Row],[Year]], A234, 1), "mmmm")</f>
        <v>August</v>
      </c>
    </row>
    <row r="235" spans="1:14" x14ac:dyDescent="0.3">
      <c r="A235">
        <v>9</v>
      </c>
      <c r="B235">
        <v>2018</v>
      </c>
      <c r="C235" t="s">
        <v>47</v>
      </c>
      <c r="D235">
        <v>7</v>
      </c>
      <c r="E235" t="s">
        <v>48</v>
      </c>
      <c r="F235" t="s">
        <v>317</v>
      </c>
      <c r="G235" t="s">
        <v>113</v>
      </c>
      <c r="H235" t="s">
        <v>114</v>
      </c>
      <c r="I235" t="s">
        <v>17</v>
      </c>
      <c r="J235">
        <v>0</v>
      </c>
      <c r="K235">
        <v>658</v>
      </c>
      <c r="L235">
        <v>47505</v>
      </c>
      <c r="M235" t="str">
        <f t="shared" si="3"/>
        <v>Air Port</v>
      </c>
      <c r="N235" t="str">
        <f>TEXT(DATE(EXPORT[[#This Row],[Year]], A235, 1), "mmmm")</f>
        <v>September</v>
      </c>
    </row>
    <row r="236" spans="1:14" x14ac:dyDescent="0.3">
      <c r="A236">
        <v>6</v>
      </c>
      <c r="B236">
        <v>2020</v>
      </c>
      <c r="C236" t="s">
        <v>18</v>
      </c>
      <c r="D236">
        <v>6</v>
      </c>
      <c r="E236" t="s">
        <v>233</v>
      </c>
      <c r="F236" t="s">
        <v>194</v>
      </c>
      <c r="G236" t="s">
        <v>106</v>
      </c>
      <c r="H236" t="s">
        <v>558</v>
      </c>
      <c r="I236" t="s">
        <v>17</v>
      </c>
      <c r="J236">
        <v>0</v>
      </c>
      <c r="K236">
        <v>948</v>
      </c>
      <c r="L236">
        <v>71814</v>
      </c>
      <c r="M236" t="str">
        <f t="shared" si="3"/>
        <v>ICD / Dry Port</v>
      </c>
      <c r="N236" t="str">
        <f>TEXT(DATE(EXPORT[[#This Row],[Year]], A236, 1), "mmmm")</f>
        <v>June</v>
      </c>
    </row>
    <row r="237" spans="1:14" x14ac:dyDescent="0.3">
      <c r="A237">
        <v>9</v>
      </c>
      <c r="B237">
        <v>2019</v>
      </c>
      <c r="C237" t="s">
        <v>12</v>
      </c>
      <c r="D237">
        <v>8</v>
      </c>
      <c r="E237" t="s">
        <v>322</v>
      </c>
      <c r="F237" t="s">
        <v>253</v>
      </c>
      <c r="G237" t="s">
        <v>306</v>
      </c>
      <c r="H237" t="s">
        <v>307</v>
      </c>
      <c r="I237" t="s">
        <v>17</v>
      </c>
      <c r="J237">
        <v>0</v>
      </c>
      <c r="K237">
        <v>160</v>
      </c>
      <c r="L237">
        <v>11396</v>
      </c>
      <c r="M237" t="str">
        <f t="shared" si="3"/>
        <v>SEZ / Industrial Zone</v>
      </c>
      <c r="N237" t="str">
        <f>TEXT(DATE(EXPORT[[#This Row],[Year]], A237, 1), "mmmm")</f>
        <v>September</v>
      </c>
    </row>
    <row r="238" spans="1:14" x14ac:dyDescent="0.3">
      <c r="A238">
        <v>7</v>
      </c>
      <c r="B238">
        <v>2019</v>
      </c>
      <c r="C238" t="s">
        <v>132</v>
      </c>
      <c r="D238">
        <v>19</v>
      </c>
      <c r="E238" t="s">
        <v>133</v>
      </c>
      <c r="F238" t="s">
        <v>190</v>
      </c>
      <c r="G238" t="s">
        <v>282</v>
      </c>
      <c r="H238" t="s">
        <v>283</v>
      </c>
      <c r="I238" t="s">
        <v>17</v>
      </c>
      <c r="J238">
        <v>0</v>
      </c>
      <c r="K238">
        <v>7575</v>
      </c>
      <c r="L238">
        <v>521217</v>
      </c>
      <c r="M238" t="str">
        <f t="shared" si="3"/>
        <v>Air Port</v>
      </c>
      <c r="N238" t="str">
        <f>TEXT(DATE(EXPORT[[#This Row],[Year]], A238, 1), "mmmm")</f>
        <v>July</v>
      </c>
    </row>
    <row r="239" spans="1:14" x14ac:dyDescent="0.3">
      <c r="A239">
        <v>1</v>
      </c>
      <c r="B239">
        <v>2022</v>
      </c>
      <c r="C239" t="s">
        <v>42</v>
      </c>
      <c r="D239">
        <v>33</v>
      </c>
      <c r="E239" t="s">
        <v>255</v>
      </c>
      <c r="F239" t="s">
        <v>153</v>
      </c>
      <c r="G239" t="s">
        <v>127</v>
      </c>
      <c r="H239" t="s">
        <v>128</v>
      </c>
      <c r="I239" t="s">
        <v>17</v>
      </c>
      <c r="J239">
        <v>0</v>
      </c>
      <c r="K239">
        <v>798748</v>
      </c>
      <c r="L239">
        <v>59460109</v>
      </c>
      <c r="M239" t="str">
        <f t="shared" si="3"/>
        <v>SEZ / Industrial Zone</v>
      </c>
      <c r="N239" t="str">
        <f>TEXT(DATE(EXPORT[[#This Row],[Year]], A239, 1), "mmmm")</f>
        <v>January</v>
      </c>
    </row>
    <row r="240" spans="1:14" x14ac:dyDescent="0.3">
      <c r="A240">
        <v>4</v>
      </c>
      <c r="B240">
        <v>2022</v>
      </c>
      <c r="C240" t="s">
        <v>47</v>
      </c>
      <c r="D240">
        <v>7</v>
      </c>
      <c r="E240" t="s">
        <v>48</v>
      </c>
      <c r="F240" t="s">
        <v>215</v>
      </c>
      <c r="G240" t="s">
        <v>52</v>
      </c>
      <c r="H240" t="s">
        <v>53</v>
      </c>
      <c r="I240" t="s">
        <v>17</v>
      </c>
      <c r="J240">
        <v>0</v>
      </c>
      <c r="K240">
        <v>9226</v>
      </c>
      <c r="L240">
        <v>702709</v>
      </c>
      <c r="M240" t="str">
        <f t="shared" si="3"/>
        <v>Air Port</v>
      </c>
      <c r="N240" t="str">
        <f>TEXT(DATE(EXPORT[[#This Row],[Year]], A240, 1), "mmmm")</f>
        <v>April</v>
      </c>
    </row>
    <row r="241" spans="1:14" x14ac:dyDescent="0.3">
      <c r="A241">
        <v>3</v>
      </c>
      <c r="B241">
        <v>2022</v>
      </c>
      <c r="C241" t="s">
        <v>42</v>
      </c>
      <c r="D241">
        <v>33</v>
      </c>
      <c r="E241" t="s">
        <v>111</v>
      </c>
      <c r="F241" t="s">
        <v>263</v>
      </c>
      <c r="G241" t="s">
        <v>116</v>
      </c>
      <c r="H241" t="s">
        <v>117</v>
      </c>
      <c r="I241" t="s">
        <v>17</v>
      </c>
      <c r="J241">
        <v>0</v>
      </c>
      <c r="K241">
        <v>38639</v>
      </c>
      <c r="L241">
        <v>2946026</v>
      </c>
      <c r="M241" t="str">
        <f t="shared" si="3"/>
        <v>Air Port</v>
      </c>
      <c r="N241" t="str">
        <f>TEXT(DATE(EXPORT[[#This Row],[Year]], A241, 1), "mmmm")</f>
        <v>March</v>
      </c>
    </row>
    <row r="242" spans="1:14" x14ac:dyDescent="0.3">
      <c r="A242">
        <v>1</v>
      </c>
      <c r="B242">
        <v>2021</v>
      </c>
      <c r="C242" t="s">
        <v>323</v>
      </c>
      <c r="D242">
        <v>5</v>
      </c>
      <c r="E242" t="s">
        <v>324</v>
      </c>
      <c r="F242" t="s">
        <v>81</v>
      </c>
      <c r="G242" t="s">
        <v>77</v>
      </c>
      <c r="H242" t="s">
        <v>78</v>
      </c>
      <c r="I242" t="s">
        <v>17</v>
      </c>
      <c r="J242">
        <v>0</v>
      </c>
      <c r="K242">
        <v>282</v>
      </c>
      <c r="L242">
        <v>20639</v>
      </c>
      <c r="M242" t="str">
        <f t="shared" si="3"/>
        <v>Other</v>
      </c>
      <c r="N242" t="str">
        <f>TEXT(DATE(EXPORT[[#This Row],[Year]], A242, 1), "mmmm")</f>
        <v>January</v>
      </c>
    </row>
    <row r="243" spans="1:14" x14ac:dyDescent="0.3">
      <c r="A243">
        <v>12</v>
      </c>
      <c r="B243">
        <v>2021</v>
      </c>
      <c r="C243" t="s">
        <v>47</v>
      </c>
      <c r="D243">
        <v>7</v>
      </c>
      <c r="E243" t="s">
        <v>51</v>
      </c>
      <c r="F243" t="s">
        <v>325</v>
      </c>
      <c r="G243" t="s">
        <v>86</v>
      </c>
      <c r="H243" t="s">
        <v>87</v>
      </c>
      <c r="I243" t="s">
        <v>17</v>
      </c>
      <c r="J243">
        <v>0</v>
      </c>
      <c r="K243">
        <v>38409</v>
      </c>
      <c r="L243">
        <v>2895011</v>
      </c>
      <c r="M243" t="str">
        <f t="shared" si="3"/>
        <v>ICD / Dry Port</v>
      </c>
      <c r="N243" t="str">
        <f>TEXT(DATE(EXPORT[[#This Row],[Year]], A243, 1), "mmmm")</f>
        <v>December</v>
      </c>
    </row>
    <row r="244" spans="1:14" x14ac:dyDescent="0.3">
      <c r="A244">
        <v>1</v>
      </c>
      <c r="B244">
        <v>2018</v>
      </c>
      <c r="C244" t="s">
        <v>58</v>
      </c>
      <c r="D244">
        <v>27</v>
      </c>
      <c r="E244" t="s">
        <v>125</v>
      </c>
      <c r="F244" t="s">
        <v>243</v>
      </c>
      <c r="G244" t="s">
        <v>95</v>
      </c>
      <c r="H244" t="s">
        <v>96</v>
      </c>
      <c r="I244" t="s">
        <v>17</v>
      </c>
      <c r="J244">
        <v>0</v>
      </c>
      <c r="K244">
        <v>577</v>
      </c>
      <c r="L244">
        <v>36699</v>
      </c>
      <c r="M244" t="str">
        <f t="shared" si="3"/>
        <v>Air Port</v>
      </c>
      <c r="N244" t="str">
        <f>TEXT(DATE(EXPORT[[#This Row],[Year]], A244, 1), "mmmm")</f>
        <v>January</v>
      </c>
    </row>
    <row r="245" spans="1:14" x14ac:dyDescent="0.3">
      <c r="A245">
        <v>9</v>
      </c>
      <c r="B245">
        <v>2019</v>
      </c>
      <c r="C245" t="s">
        <v>47</v>
      </c>
      <c r="D245">
        <v>7</v>
      </c>
      <c r="E245" t="s">
        <v>51</v>
      </c>
      <c r="F245" t="s">
        <v>159</v>
      </c>
      <c r="G245" t="s">
        <v>123</v>
      </c>
      <c r="H245" t="s">
        <v>613</v>
      </c>
      <c r="I245" t="s">
        <v>17</v>
      </c>
      <c r="J245">
        <v>0</v>
      </c>
      <c r="K245">
        <v>83502</v>
      </c>
      <c r="L245">
        <v>5956473</v>
      </c>
      <c r="M245" t="str">
        <f t="shared" si="3"/>
        <v>ICD / Dry Port</v>
      </c>
      <c r="N245" t="str">
        <f>TEXT(DATE(EXPORT[[#This Row],[Year]], A245, 1), "mmmm")</f>
        <v>September</v>
      </c>
    </row>
    <row r="246" spans="1:14" x14ac:dyDescent="0.3">
      <c r="A246">
        <v>4</v>
      </c>
      <c r="B246">
        <v>2022</v>
      </c>
      <c r="C246" t="s">
        <v>73</v>
      </c>
      <c r="D246">
        <v>3</v>
      </c>
      <c r="E246" t="s">
        <v>221</v>
      </c>
      <c r="F246" t="s">
        <v>44</v>
      </c>
      <c r="G246" t="s">
        <v>157</v>
      </c>
      <c r="H246" t="s">
        <v>158</v>
      </c>
      <c r="I246" t="s">
        <v>17</v>
      </c>
      <c r="J246">
        <v>0</v>
      </c>
      <c r="K246">
        <v>364</v>
      </c>
      <c r="L246">
        <v>27749</v>
      </c>
      <c r="M246" t="str">
        <f t="shared" si="3"/>
        <v>ICD / Dry Port</v>
      </c>
      <c r="N246" t="str">
        <f>TEXT(DATE(EXPORT[[#This Row],[Year]], A246, 1), "mmmm")</f>
        <v>April</v>
      </c>
    </row>
    <row r="247" spans="1:14" x14ac:dyDescent="0.3">
      <c r="A247">
        <v>11</v>
      </c>
      <c r="B247">
        <v>2020</v>
      </c>
      <c r="C247" t="s">
        <v>12</v>
      </c>
      <c r="D247">
        <v>8</v>
      </c>
      <c r="E247" t="s">
        <v>326</v>
      </c>
      <c r="F247" t="s">
        <v>327</v>
      </c>
      <c r="G247" t="s">
        <v>15</v>
      </c>
      <c r="H247" t="s">
        <v>16</v>
      </c>
      <c r="I247" t="s">
        <v>17</v>
      </c>
      <c r="J247">
        <v>0</v>
      </c>
      <c r="K247">
        <v>1436</v>
      </c>
      <c r="L247">
        <v>106576</v>
      </c>
      <c r="M247" t="str">
        <f t="shared" si="3"/>
        <v>ICD / Dry Port</v>
      </c>
      <c r="N247" t="str">
        <f>TEXT(DATE(EXPORT[[#This Row],[Year]], A247, 1), "mmmm")</f>
        <v>November</v>
      </c>
    </row>
    <row r="248" spans="1:14" x14ac:dyDescent="0.3">
      <c r="A248">
        <v>9</v>
      </c>
      <c r="B248">
        <v>2019</v>
      </c>
      <c r="C248" t="s">
        <v>23</v>
      </c>
      <c r="D248">
        <v>24</v>
      </c>
      <c r="E248" t="s">
        <v>235</v>
      </c>
      <c r="F248" t="s">
        <v>328</v>
      </c>
      <c r="G248" t="s">
        <v>45</v>
      </c>
      <c r="H248" t="s">
        <v>46</v>
      </c>
      <c r="I248" t="s">
        <v>17</v>
      </c>
      <c r="J248">
        <v>0</v>
      </c>
      <c r="K248">
        <v>16710</v>
      </c>
      <c r="L248">
        <v>1191991</v>
      </c>
      <c r="M248" t="str">
        <f t="shared" si="3"/>
        <v>Sea Port</v>
      </c>
      <c r="N248" t="str">
        <f>TEXT(DATE(EXPORT[[#This Row],[Year]], A248, 1), "mmmm")</f>
        <v>September</v>
      </c>
    </row>
    <row r="249" spans="1:14" x14ac:dyDescent="0.3">
      <c r="A249">
        <v>11</v>
      </c>
      <c r="B249">
        <v>2020</v>
      </c>
      <c r="C249" t="s">
        <v>58</v>
      </c>
      <c r="D249">
        <v>27</v>
      </c>
      <c r="E249" t="s">
        <v>59</v>
      </c>
      <c r="F249" t="s">
        <v>68</v>
      </c>
      <c r="G249" t="s">
        <v>178</v>
      </c>
      <c r="H249" t="s">
        <v>179</v>
      </c>
      <c r="I249" t="s">
        <v>17</v>
      </c>
      <c r="J249">
        <v>0</v>
      </c>
      <c r="K249">
        <v>9801</v>
      </c>
      <c r="L249">
        <v>727418</v>
      </c>
      <c r="M249" t="str">
        <f t="shared" si="3"/>
        <v>Sea Port</v>
      </c>
      <c r="N249" t="str">
        <f>TEXT(DATE(EXPORT[[#This Row],[Year]], A249, 1), "mmmm")</f>
        <v>November</v>
      </c>
    </row>
    <row r="250" spans="1:14" x14ac:dyDescent="0.3">
      <c r="A250">
        <v>4</v>
      </c>
      <c r="B250">
        <v>2021</v>
      </c>
      <c r="C250" t="s">
        <v>132</v>
      </c>
      <c r="D250">
        <v>19</v>
      </c>
      <c r="E250" t="s">
        <v>329</v>
      </c>
      <c r="F250" t="s">
        <v>70</v>
      </c>
      <c r="G250" t="s">
        <v>178</v>
      </c>
      <c r="H250" t="s">
        <v>179</v>
      </c>
      <c r="I250" t="s">
        <v>17</v>
      </c>
      <c r="J250">
        <v>0</v>
      </c>
      <c r="K250">
        <v>128</v>
      </c>
      <c r="L250">
        <v>9564</v>
      </c>
      <c r="M250" t="str">
        <f t="shared" si="3"/>
        <v>SEZ / Industrial Zone</v>
      </c>
      <c r="N250" t="str">
        <f>TEXT(DATE(EXPORT[[#This Row],[Year]], A250, 1), "mmmm")</f>
        <v>April</v>
      </c>
    </row>
    <row r="251" spans="1:14" x14ac:dyDescent="0.3">
      <c r="A251">
        <v>7</v>
      </c>
      <c r="B251">
        <v>2019</v>
      </c>
      <c r="C251" t="s">
        <v>58</v>
      </c>
      <c r="D251">
        <v>27</v>
      </c>
      <c r="E251" t="s">
        <v>330</v>
      </c>
      <c r="F251" t="s">
        <v>149</v>
      </c>
      <c r="G251" t="s">
        <v>52</v>
      </c>
      <c r="H251" t="s">
        <v>53</v>
      </c>
      <c r="I251" t="s">
        <v>17</v>
      </c>
      <c r="J251">
        <v>0</v>
      </c>
      <c r="K251">
        <v>19010</v>
      </c>
      <c r="L251">
        <v>1308038</v>
      </c>
      <c r="M251" t="str">
        <f t="shared" si="3"/>
        <v>ICD / Dry Port</v>
      </c>
      <c r="N251" t="str">
        <f>TEXT(DATE(EXPORT[[#This Row],[Year]], A251, 1), "mmmm")</f>
        <v>July</v>
      </c>
    </row>
    <row r="252" spans="1:14" x14ac:dyDescent="0.3">
      <c r="A252">
        <v>10</v>
      </c>
      <c r="B252">
        <v>2021</v>
      </c>
      <c r="C252" t="s">
        <v>42</v>
      </c>
      <c r="D252">
        <v>33</v>
      </c>
      <c r="E252" t="s">
        <v>192</v>
      </c>
      <c r="F252" t="s">
        <v>35</v>
      </c>
      <c r="G252" t="s">
        <v>36</v>
      </c>
      <c r="H252" t="s">
        <v>37</v>
      </c>
      <c r="I252" t="s">
        <v>17</v>
      </c>
      <c r="J252">
        <v>0</v>
      </c>
      <c r="K252">
        <v>12709</v>
      </c>
      <c r="L252">
        <v>952100</v>
      </c>
      <c r="M252" t="str">
        <f t="shared" si="3"/>
        <v>Other</v>
      </c>
      <c r="N252" t="str">
        <f>TEXT(DATE(EXPORT[[#This Row],[Year]], A252, 1), "mmmm")</f>
        <v>October</v>
      </c>
    </row>
    <row r="253" spans="1:14" x14ac:dyDescent="0.3">
      <c r="A253">
        <v>6</v>
      </c>
      <c r="B253">
        <v>2020</v>
      </c>
      <c r="C253" t="s">
        <v>23</v>
      </c>
      <c r="D253">
        <v>24</v>
      </c>
      <c r="E253" t="s">
        <v>69</v>
      </c>
      <c r="F253" t="s">
        <v>232</v>
      </c>
      <c r="G253" t="s">
        <v>116</v>
      </c>
      <c r="H253" t="s">
        <v>117</v>
      </c>
      <c r="I253" t="s">
        <v>17</v>
      </c>
      <c r="J253">
        <v>0</v>
      </c>
      <c r="K253">
        <v>195255</v>
      </c>
      <c r="L253">
        <v>14786031</v>
      </c>
      <c r="M253" t="str">
        <f t="shared" si="3"/>
        <v>SEZ / Industrial Zone</v>
      </c>
      <c r="N253" t="str">
        <f>TEXT(DATE(EXPORT[[#This Row],[Year]], A253, 1), "mmmm")</f>
        <v>June</v>
      </c>
    </row>
    <row r="254" spans="1:14" x14ac:dyDescent="0.3">
      <c r="A254">
        <v>5</v>
      </c>
      <c r="B254">
        <v>2022</v>
      </c>
      <c r="C254" t="s">
        <v>28</v>
      </c>
      <c r="D254">
        <v>29</v>
      </c>
      <c r="E254" t="s">
        <v>29</v>
      </c>
      <c r="F254" t="s">
        <v>35</v>
      </c>
      <c r="G254" t="s">
        <v>300</v>
      </c>
      <c r="H254" t="s">
        <v>301</v>
      </c>
      <c r="I254" t="s">
        <v>17</v>
      </c>
      <c r="J254">
        <v>0</v>
      </c>
      <c r="K254">
        <v>472302</v>
      </c>
      <c r="L254">
        <v>36518060</v>
      </c>
      <c r="M254" t="str">
        <f t="shared" si="3"/>
        <v>Sea Port</v>
      </c>
      <c r="N254" t="str">
        <f>TEXT(DATE(EXPORT[[#This Row],[Year]], A254, 1), "mmmm")</f>
        <v>May</v>
      </c>
    </row>
    <row r="255" spans="1:14" x14ac:dyDescent="0.3">
      <c r="A255">
        <v>4</v>
      </c>
      <c r="B255">
        <v>2018</v>
      </c>
      <c r="C255" t="s">
        <v>23</v>
      </c>
      <c r="D255">
        <v>24</v>
      </c>
      <c r="E255" t="s">
        <v>218</v>
      </c>
      <c r="F255" t="s">
        <v>105</v>
      </c>
      <c r="G255" t="s">
        <v>106</v>
      </c>
      <c r="H255" t="s">
        <v>558</v>
      </c>
      <c r="I255" t="s">
        <v>17</v>
      </c>
      <c r="J255">
        <v>0</v>
      </c>
      <c r="K255">
        <v>7923</v>
      </c>
      <c r="L255">
        <v>520008</v>
      </c>
      <c r="M255" t="str">
        <f t="shared" si="3"/>
        <v>Air Port</v>
      </c>
      <c r="N255" t="str">
        <f>TEXT(DATE(EXPORT[[#This Row],[Year]], A255, 1), "mmmm")</f>
        <v>April</v>
      </c>
    </row>
    <row r="256" spans="1:14" x14ac:dyDescent="0.3">
      <c r="A256">
        <v>7</v>
      </c>
      <c r="B256">
        <v>2023</v>
      </c>
      <c r="C256" t="s">
        <v>47</v>
      </c>
      <c r="D256">
        <v>7</v>
      </c>
      <c r="E256" t="s">
        <v>48</v>
      </c>
      <c r="F256" t="s">
        <v>20</v>
      </c>
      <c r="G256" t="s">
        <v>56</v>
      </c>
      <c r="H256" t="s">
        <v>57</v>
      </c>
      <c r="I256" t="s">
        <v>17</v>
      </c>
      <c r="J256">
        <v>0</v>
      </c>
      <c r="K256">
        <v>128837</v>
      </c>
      <c r="L256">
        <v>10584177</v>
      </c>
      <c r="M256" t="str">
        <f t="shared" si="3"/>
        <v>Air Port</v>
      </c>
      <c r="N256" t="str">
        <f>TEXT(DATE(EXPORT[[#This Row],[Year]], A256, 1), "mmmm")</f>
        <v>July</v>
      </c>
    </row>
    <row r="257" spans="1:14" x14ac:dyDescent="0.3">
      <c r="A257">
        <v>10</v>
      </c>
      <c r="B257">
        <v>2022</v>
      </c>
      <c r="C257" t="s">
        <v>73</v>
      </c>
      <c r="D257">
        <v>3</v>
      </c>
      <c r="E257" t="s">
        <v>221</v>
      </c>
      <c r="F257" t="s">
        <v>331</v>
      </c>
      <c r="G257" t="s">
        <v>86</v>
      </c>
      <c r="H257" t="s">
        <v>87</v>
      </c>
      <c r="I257" t="s">
        <v>17</v>
      </c>
      <c r="J257">
        <v>0</v>
      </c>
      <c r="K257">
        <v>57758</v>
      </c>
      <c r="L257">
        <v>4755806</v>
      </c>
      <c r="M257" t="str">
        <f t="shared" si="3"/>
        <v>ICD / Dry Port</v>
      </c>
      <c r="N257" t="str">
        <f>TEXT(DATE(EXPORT[[#This Row],[Year]], A257, 1), "mmmm")</f>
        <v>October</v>
      </c>
    </row>
    <row r="258" spans="1:14" x14ac:dyDescent="0.3">
      <c r="A258">
        <v>2</v>
      </c>
      <c r="B258">
        <v>2019</v>
      </c>
      <c r="C258" t="s">
        <v>58</v>
      </c>
      <c r="D258">
        <v>27</v>
      </c>
      <c r="E258" t="s">
        <v>125</v>
      </c>
      <c r="F258" t="s">
        <v>251</v>
      </c>
      <c r="G258" t="s">
        <v>77</v>
      </c>
      <c r="H258" t="s">
        <v>78</v>
      </c>
      <c r="I258" t="s">
        <v>17</v>
      </c>
      <c r="J258">
        <v>0</v>
      </c>
      <c r="K258">
        <v>90153</v>
      </c>
      <c r="L258">
        <v>6420846</v>
      </c>
      <c r="M258" t="str">
        <f t="shared" ref="M258:M321" si="4">IF(OR(ISNUMBER(SEARCH("ICD",E258)),ISNUMBER(SEARCH("Dry Port",E258))),"ICD / Dry Port", IF(OR(ISNUMBER(SEARCH("Sea",E258)),ISNUMBER(SEARCH("Port",E258))),"Sea Port", IF(OR(ISNUMBER(SEARCH("Air",E258)),ISNUMBER(SEARCH("Airport",E258))),"Air Port", IF(ISNUMBER(SEARCH("CFS",E258)),"CFS", IF(OR(ISNUMBER(SEARCH("SEZ",E258)),ISNUMBER(SEARCH("EPZ",E258)),ISNUMBER(SEARCH("FTWZ",E258)),ISNUMBER(SEARCH("City",E258)),ISNUMBER(SEARCH("Park",E258))),"SEZ / Industrial Zone", IF(OR(ISNUMBER(SEARCH("Land",E258)),ISNUMBER(SEARCH("LCS",E258)),ISNUMBER(SEARCH("Rly",E258))),"Land Port", "Other"))))))</f>
        <v>Air Port</v>
      </c>
      <c r="N258" t="str">
        <f>TEXT(DATE(EXPORT[[#This Row],[Year]], A258, 1), "mmmm")</f>
        <v>February</v>
      </c>
    </row>
    <row r="259" spans="1:14" x14ac:dyDescent="0.3">
      <c r="A259">
        <v>2</v>
      </c>
      <c r="B259">
        <v>2022</v>
      </c>
      <c r="C259" t="s">
        <v>28</v>
      </c>
      <c r="D259">
        <v>29</v>
      </c>
      <c r="E259" t="s">
        <v>236</v>
      </c>
      <c r="F259" t="s">
        <v>193</v>
      </c>
      <c r="G259" t="s">
        <v>612</v>
      </c>
      <c r="H259" t="s">
        <v>62</v>
      </c>
      <c r="I259" t="s">
        <v>17</v>
      </c>
      <c r="J259">
        <v>0</v>
      </c>
      <c r="K259">
        <v>6899</v>
      </c>
      <c r="L259">
        <v>517410</v>
      </c>
      <c r="M259" t="str">
        <f t="shared" si="4"/>
        <v>ICD / Dry Port</v>
      </c>
      <c r="N259" t="str">
        <f>TEXT(DATE(EXPORT[[#This Row],[Year]], A259, 1), "mmmm")</f>
        <v>February</v>
      </c>
    </row>
    <row r="260" spans="1:14" x14ac:dyDescent="0.3">
      <c r="A260">
        <v>3</v>
      </c>
      <c r="B260">
        <v>2018</v>
      </c>
      <c r="C260" t="s">
        <v>58</v>
      </c>
      <c r="D260">
        <v>27</v>
      </c>
      <c r="E260" t="s">
        <v>59</v>
      </c>
      <c r="F260" t="s">
        <v>331</v>
      </c>
      <c r="G260" t="s">
        <v>52</v>
      </c>
      <c r="H260" t="s">
        <v>53</v>
      </c>
      <c r="I260" t="s">
        <v>17</v>
      </c>
      <c r="J260">
        <v>0</v>
      </c>
      <c r="K260">
        <v>78644</v>
      </c>
      <c r="L260">
        <v>5113547</v>
      </c>
      <c r="M260" t="str">
        <f t="shared" si="4"/>
        <v>Sea Port</v>
      </c>
      <c r="N260" t="str">
        <f>TEXT(DATE(EXPORT[[#This Row],[Year]], A260, 1), "mmmm")</f>
        <v>March</v>
      </c>
    </row>
    <row r="261" spans="1:14" x14ac:dyDescent="0.3">
      <c r="A261">
        <v>4</v>
      </c>
      <c r="B261">
        <v>2019</v>
      </c>
      <c r="C261" t="s">
        <v>23</v>
      </c>
      <c r="D261">
        <v>24</v>
      </c>
      <c r="E261" t="s">
        <v>218</v>
      </c>
      <c r="F261" t="s">
        <v>145</v>
      </c>
      <c r="G261" t="s">
        <v>195</v>
      </c>
      <c r="H261" t="s">
        <v>196</v>
      </c>
      <c r="I261" t="s">
        <v>17</v>
      </c>
      <c r="J261">
        <v>0</v>
      </c>
      <c r="K261">
        <v>381</v>
      </c>
      <c r="L261">
        <v>26450</v>
      </c>
      <c r="M261" t="str">
        <f t="shared" si="4"/>
        <v>Air Port</v>
      </c>
      <c r="N261" t="str">
        <f>TEXT(DATE(EXPORT[[#This Row],[Year]], A261, 1), "mmmm")</f>
        <v>April</v>
      </c>
    </row>
    <row r="262" spans="1:14" x14ac:dyDescent="0.3">
      <c r="A262">
        <v>7</v>
      </c>
      <c r="B262">
        <v>2023</v>
      </c>
      <c r="C262" t="s">
        <v>47</v>
      </c>
      <c r="D262">
        <v>7</v>
      </c>
      <c r="E262" t="s">
        <v>51</v>
      </c>
      <c r="F262" t="s">
        <v>281</v>
      </c>
      <c r="G262" t="s">
        <v>86</v>
      </c>
      <c r="H262" t="s">
        <v>87</v>
      </c>
      <c r="I262" t="s">
        <v>17</v>
      </c>
      <c r="J262">
        <v>0</v>
      </c>
      <c r="K262">
        <v>39537</v>
      </c>
      <c r="L262">
        <v>3248000</v>
      </c>
      <c r="M262" t="str">
        <f t="shared" si="4"/>
        <v>ICD / Dry Port</v>
      </c>
      <c r="N262" t="str">
        <f>TEXT(DATE(EXPORT[[#This Row],[Year]], A262, 1), "mmmm")</f>
        <v>July</v>
      </c>
    </row>
    <row r="263" spans="1:14" x14ac:dyDescent="0.3">
      <c r="A263">
        <v>4</v>
      </c>
      <c r="B263">
        <v>2021</v>
      </c>
      <c r="C263" t="s">
        <v>42</v>
      </c>
      <c r="D263">
        <v>33</v>
      </c>
      <c r="E263" t="s">
        <v>111</v>
      </c>
      <c r="F263" t="s">
        <v>263</v>
      </c>
      <c r="G263" t="s">
        <v>40</v>
      </c>
      <c r="H263" t="s">
        <v>41</v>
      </c>
      <c r="I263" t="s">
        <v>17</v>
      </c>
      <c r="J263">
        <v>0</v>
      </c>
      <c r="K263">
        <v>65951</v>
      </c>
      <c r="L263">
        <v>4911541</v>
      </c>
      <c r="M263" t="str">
        <f t="shared" si="4"/>
        <v>Air Port</v>
      </c>
      <c r="N263" t="str">
        <f>TEXT(DATE(EXPORT[[#This Row],[Year]], A263, 1), "mmmm")</f>
        <v>April</v>
      </c>
    </row>
    <row r="264" spans="1:14" x14ac:dyDescent="0.3">
      <c r="A264">
        <v>10</v>
      </c>
      <c r="B264">
        <v>2019</v>
      </c>
      <c r="C264" t="s">
        <v>58</v>
      </c>
      <c r="D264">
        <v>27</v>
      </c>
      <c r="E264" t="s">
        <v>59</v>
      </c>
      <c r="F264" t="s">
        <v>332</v>
      </c>
      <c r="G264" t="s">
        <v>160</v>
      </c>
      <c r="H264" t="s">
        <v>161</v>
      </c>
      <c r="I264" t="s">
        <v>17</v>
      </c>
      <c r="J264">
        <v>0</v>
      </c>
      <c r="K264">
        <v>334617</v>
      </c>
      <c r="L264">
        <v>23771022</v>
      </c>
      <c r="M264" t="str">
        <f t="shared" si="4"/>
        <v>Sea Port</v>
      </c>
      <c r="N264" t="str">
        <f>TEXT(DATE(EXPORT[[#This Row],[Year]], A264, 1), "mmmm")</f>
        <v>October</v>
      </c>
    </row>
    <row r="265" spans="1:14" x14ac:dyDescent="0.3">
      <c r="A265">
        <v>1</v>
      </c>
      <c r="B265">
        <v>2020</v>
      </c>
      <c r="C265" t="s">
        <v>33</v>
      </c>
      <c r="D265">
        <v>32</v>
      </c>
      <c r="E265" t="s">
        <v>214</v>
      </c>
      <c r="F265" t="s">
        <v>217</v>
      </c>
      <c r="G265" t="s">
        <v>157</v>
      </c>
      <c r="H265" t="s">
        <v>158</v>
      </c>
      <c r="I265" t="s">
        <v>17</v>
      </c>
      <c r="J265">
        <v>0</v>
      </c>
      <c r="K265">
        <v>14163</v>
      </c>
      <c r="L265">
        <v>1010019</v>
      </c>
      <c r="M265" t="str">
        <f t="shared" si="4"/>
        <v>Sea Port</v>
      </c>
      <c r="N265" t="str">
        <f>TEXT(DATE(EXPORT[[#This Row],[Year]], A265, 1), "mmmm")</f>
        <v>January</v>
      </c>
    </row>
    <row r="266" spans="1:14" x14ac:dyDescent="0.3">
      <c r="A266">
        <v>9</v>
      </c>
      <c r="B266">
        <v>2022</v>
      </c>
      <c r="C266" t="s">
        <v>23</v>
      </c>
      <c r="D266">
        <v>24</v>
      </c>
      <c r="E266" t="s">
        <v>218</v>
      </c>
      <c r="F266" t="s">
        <v>35</v>
      </c>
      <c r="G266" t="s">
        <v>92</v>
      </c>
      <c r="H266" t="s">
        <v>93</v>
      </c>
      <c r="I266" t="s">
        <v>17</v>
      </c>
      <c r="J266">
        <v>0</v>
      </c>
      <c r="K266">
        <v>112019</v>
      </c>
      <c r="L266">
        <v>8987497</v>
      </c>
      <c r="M266" t="str">
        <f t="shared" si="4"/>
        <v>Air Port</v>
      </c>
      <c r="N266" t="str">
        <f>TEXT(DATE(EXPORT[[#This Row],[Year]], A266, 1), "mmmm")</f>
        <v>September</v>
      </c>
    </row>
    <row r="267" spans="1:14" x14ac:dyDescent="0.3">
      <c r="A267">
        <v>8</v>
      </c>
      <c r="B267">
        <v>2022</v>
      </c>
      <c r="C267" t="s">
        <v>42</v>
      </c>
      <c r="D267">
        <v>33</v>
      </c>
      <c r="E267" t="s">
        <v>43</v>
      </c>
      <c r="F267" t="s">
        <v>98</v>
      </c>
      <c r="G267" t="s">
        <v>77</v>
      </c>
      <c r="H267" t="s">
        <v>78</v>
      </c>
      <c r="I267" t="s">
        <v>17</v>
      </c>
      <c r="J267">
        <v>0</v>
      </c>
      <c r="K267">
        <v>774096</v>
      </c>
      <c r="L267">
        <v>61583197</v>
      </c>
      <c r="M267" t="str">
        <f t="shared" si="4"/>
        <v>Sea Port</v>
      </c>
      <c r="N267" t="str">
        <f>TEXT(DATE(EXPORT[[#This Row],[Year]], A267, 1), "mmmm")</f>
        <v>August</v>
      </c>
    </row>
    <row r="268" spans="1:14" x14ac:dyDescent="0.3">
      <c r="A268">
        <v>2</v>
      </c>
      <c r="B268">
        <v>2022</v>
      </c>
      <c r="C268" t="s">
        <v>132</v>
      </c>
      <c r="D268">
        <v>19</v>
      </c>
      <c r="E268" t="s">
        <v>209</v>
      </c>
      <c r="F268" t="s">
        <v>98</v>
      </c>
      <c r="G268" t="s">
        <v>318</v>
      </c>
      <c r="H268" t="s">
        <v>319</v>
      </c>
      <c r="I268" t="s">
        <v>17</v>
      </c>
      <c r="J268">
        <v>0</v>
      </c>
      <c r="K268">
        <v>75448</v>
      </c>
      <c r="L268">
        <v>5658868</v>
      </c>
      <c r="M268" t="str">
        <f t="shared" si="4"/>
        <v>Sea Port</v>
      </c>
      <c r="N268" t="str">
        <f>TEXT(DATE(EXPORT[[#This Row],[Year]], A268, 1), "mmmm")</f>
        <v>February</v>
      </c>
    </row>
    <row r="269" spans="1:14" x14ac:dyDescent="0.3">
      <c r="A269">
        <v>1</v>
      </c>
      <c r="B269">
        <v>2018</v>
      </c>
      <c r="C269" t="s">
        <v>58</v>
      </c>
      <c r="D269">
        <v>27</v>
      </c>
      <c r="E269" t="s">
        <v>125</v>
      </c>
      <c r="F269" t="s">
        <v>294</v>
      </c>
      <c r="G269" t="s">
        <v>56</v>
      </c>
      <c r="H269" t="s">
        <v>57</v>
      </c>
      <c r="I269" t="s">
        <v>17</v>
      </c>
      <c r="J269">
        <v>0</v>
      </c>
      <c r="K269">
        <v>17399</v>
      </c>
      <c r="L269">
        <v>1107190</v>
      </c>
      <c r="M269" t="str">
        <f t="shared" si="4"/>
        <v>Air Port</v>
      </c>
      <c r="N269" t="str">
        <f>TEXT(DATE(EXPORT[[#This Row],[Year]], A269, 1), "mmmm")</f>
        <v>January</v>
      </c>
    </row>
    <row r="270" spans="1:14" x14ac:dyDescent="0.3">
      <c r="A270">
        <v>7</v>
      </c>
      <c r="B270">
        <v>2018</v>
      </c>
      <c r="C270" t="s">
        <v>58</v>
      </c>
      <c r="D270">
        <v>27</v>
      </c>
      <c r="E270" t="s">
        <v>59</v>
      </c>
      <c r="F270" t="s">
        <v>241</v>
      </c>
      <c r="G270" t="s">
        <v>99</v>
      </c>
      <c r="H270" t="s">
        <v>100</v>
      </c>
      <c r="I270" t="s">
        <v>17</v>
      </c>
      <c r="J270">
        <v>0</v>
      </c>
      <c r="K270">
        <v>200708</v>
      </c>
      <c r="L270">
        <v>13787288</v>
      </c>
      <c r="M270" t="str">
        <f t="shared" si="4"/>
        <v>Sea Port</v>
      </c>
      <c r="N270" t="str">
        <f>TEXT(DATE(EXPORT[[#This Row],[Year]], A270, 1), "mmmm")</f>
        <v>July</v>
      </c>
    </row>
    <row r="271" spans="1:14" x14ac:dyDescent="0.3">
      <c r="A271">
        <v>7</v>
      </c>
      <c r="B271">
        <v>2019</v>
      </c>
      <c r="C271" t="s">
        <v>58</v>
      </c>
      <c r="D271">
        <v>27</v>
      </c>
      <c r="E271" t="s">
        <v>59</v>
      </c>
      <c r="F271" t="s">
        <v>333</v>
      </c>
      <c r="G271" t="s">
        <v>157</v>
      </c>
      <c r="H271" t="s">
        <v>158</v>
      </c>
      <c r="I271" t="s">
        <v>17</v>
      </c>
      <c r="J271">
        <v>0</v>
      </c>
      <c r="K271">
        <v>62</v>
      </c>
      <c r="L271">
        <v>4246</v>
      </c>
      <c r="M271" t="str">
        <f t="shared" si="4"/>
        <v>Sea Port</v>
      </c>
      <c r="N271" t="str">
        <f>TEXT(DATE(EXPORT[[#This Row],[Year]], A271, 1), "mmmm")</f>
        <v>July</v>
      </c>
    </row>
    <row r="272" spans="1:14" x14ac:dyDescent="0.3">
      <c r="A272">
        <v>2</v>
      </c>
      <c r="B272">
        <v>2021</v>
      </c>
      <c r="C272" t="s">
        <v>42</v>
      </c>
      <c r="D272">
        <v>33</v>
      </c>
      <c r="E272" t="s">
        <v>67</v>
      </c>
      <c r="F272" t="s">
        <v>44</v>
      </c>
      <c r="G272" t="s">
        <v>157</v>
      </c>
      <c r="H272" t="s">
        <v>158</v>
      </c>
      <c r="I272" t="s">
        <v>17</v>
      </c>
      <c r="J272">
        <v>0</v>
      </c>
      <c r="K272">
        <v>1564211</v>
      </c>
      <c r="L272">
        <v>113806526</v>
      </c>
      <c r="M272" t="str">
        <f t="shared" si="4"/>
        <v>ICD / Dry Port</v>
      </c>
      <c r="N272" t="str">
        <f>TEXT(DATE(EXPORT[[#This Row],[Year]], A272, 1), "mmmm")</f>
        <v>February</v>
      </c>
    </row>
    <row r="273" spans="1:14" x14ac:dyDescent="0.3">
      <c r="A273">
        <v>3</v>
      </c>
      <c r="B273">
        <v>2021</v>
      </c>
      <c r="C273" t="s">
        <v>18</v>
      </c>
      <c r="D273">
        <v>6</v>
      </c>
      <c r="E273" t="s">
        <v>19</v>
      </c>
      <c r="F273" t="s">
        <v>197</v>
      </c>
      <c r="G273" t="s">
        <v>106</v>
      </c>
      <c r="H273" t="s">
        <v>558</v>
      </c>
      <c r="I273" t="s">
        <v>17</v>
      </c>
      <c r="J273">
        <v>0</v>
      </c>
      <c r="K273">
        <v>767</v>
      </c>
      <c r="L273">
        <v>55825</v>
      </c>
      <c r="M273" t="str">
        <f t="shared" si="4"/>
        <v>ICD / Dry Port</v>
      </c>
      <c r="N273" t="str">
        <f>TEXT(DATE(EXPORT[[#This Row],[Year]], A273, 1), "mmmm")</f>
        <v>March</v>
      </c>
    </row>
    <row r="274" spans="1:14" x14ac:dyDescent="0.3">
      <c r="A274">
        <v>7</v>
      </c>
      <c r="B274">
        <v>2022</v>
      </c>
      <c r="C274" t="s">
        <v>137</v>
      </c>
      <c r="D274">
        <v>36</v>
      </c>
      <c r="E274" t="s">
        <v>138</v>
      </c>
      <c r="F274" t="s">
        <v>334</v>
      </c>
      <c r="G274" t="s">
        <v>244</v>
      </c>
      <c r="H274" t="s">
        <v>245</v>
      </c>
      <c r="I274" t="s">
        <v>17</v>
      </c>
      <c r="J274">
        <v>0</v>
      </c>
      <c r="K274">
        <v>574</v>
      </c>
      <c r="L274">
        <v>45655</v>
      </c>
      <c r="M274" t="str">
        <f t="shared" si="4"/>
        <v>ICD / Dry Port</v>
      </c>
      <c r="N274" t="str">
        <f>TEXT(DATE(EXPORT[[#This Row],[Year]], A274, 1), "mmmm")</f>
        <v>July</v>
      </c>
    </row>
    <row r="275" spans="1:14" x14ac:dyDescent="0.3">
      <c r="A275">
        <v>3</v>
      </c>
      <c r="B275">
        <v>2021</v>
      </c>
      <c r="C275" t="s">
        <v>47</v>
      </c>
      <c r="D275">
        <v>7</v>
      </c>
      <c r="E275" t="s">
        <v>48</v>
      </c>
      <c r="F275" t="s">
        <v>277</v>
      </c>
      <c r="G275" t="s">
        <v>335</v>
      </c>
      <c r="H275" t="s">
        <v>336</v>
      </c>
      <c r="I275" t="s">
        <v>17</v>
      </c>
      <c r="J275">
        <v>0</v>
      </c>
      <c r="K275">
        <v>1436</v>
      </c>
      <c r="L275">
        <v>104510</v>
      </c>
      <c r="M275" t="str">
        <f t="shared" si="4"/>
        <v>Air Port</v>
      </c>
      <c r="N275" t="str">
        <f>TEXT(DATE(EXPORT[[#This Row],[Year]], A275, 1), "mmmm")</f>
        <v>March</v>
      </c>
    </row>
    <row r="276" spans="1:14" x14ac:dyDescent="0.3">
      <c r="A276">
        <v>7</v>
      </c>
      <c r="B276">
        <v>2019</v>
      </c>
      <c r="C276" t="s">
        <v>79</v>
      </c>
      <c r="D276">
        <v>9</v>
      </c>
      <c r="E276" t="s">
        <v>337</v>
      </c>
      <c r="F276" t="s">
        <v>20</v>
      </c>
      <c r="G276" t="s">
        <v>45</v>
      </c>
      <c r="H276" t="s">
        <v>46</v>
      </c>
      <c r="I276" t="s">
        <v>17</v>
      </c>
      <c r="J276">
        <v>0</v>
      </c>
      <c r="K276">
        <v>69392</v>
      </c>
      <c r="L276">
        <v>4774729</v>
      </c>
      <c r="M276" t="str">
        <f t="shared" si="4"/>
        <v>ICD / Dry Port</v>
      </c>
      <c r="N276" t="str">
        <f>TEXT(DATE(EXPORT[[#This Row],[Year]], A276, 1), "mmmm")</f>
        <v>July</v>
      </c>
    </row>
    <row r="277" spans="1:14" x14ac:dyDescent="0.3">
      <c r="A277">
        <v>12</v>
      </c>
      <c r="B277">
        <v>2022</v>
      </c>
      <c r="C277" t="s">
        <v>58</v>
      </c>
      <c r="D277">
        <v>27</v>
      </c>
      <c r="E277" t="s">
        <v>59</v>
      </c>
      <c r="F277" t="s">
        <v>163</v>
      </c>
      <c r="G277" t="s">
        <v>338</v>
      </c>
      <c r="H277" t="s">
        <v>339</v>
      </c>
      <c r="I277" t="s">
        <v>17</v>
      </c>
      <c r="J277">
        <v>0</v>
      </c>
      <c r="K277">
        <v>2697</v>
      </c>
      <c r="L277">
        <v>222414</v>
      </c>
      <c r="M277" t="str">
        <f t="shared" si="4"/>
        <v>Sea Port</v>
      </c>
      <c r="N277" t="str">
        <f>TEXT(DATE(EXPORT[[#This Row],[Year]], A277, 1), "mmmm")</f>
        <v>December</v>
      </c>
    </row>
    <row r="278" spans="1:14" x14ac:dyDescent="0.3">
      <c r="A278">
        <v>1</v>
      </c>
      <c r="B278">
        <v>2019</v>
      </c>
      <c r="C278" t="s">
        <v>132</v>
      </c>
      <c r="D278">
        <v>19</v>
      </c>
      <c r="E278" t="s">
        <v>209</v>
      </c>
      <c r="F278" t="s">
        <v>224</v>
      </c>
      <c r="G278" t="s">
        <v>157</v>
      </c>
      <c r="H278" t="s">
        <v>158</v>
      </c>
      <c r="I278" t="s">
        <v>17</v>
      </c>
      <c r="J278">
        <v>0</v>
      </c>
      <c r="K278">
        <v>24544</v>
      </c>
      <c r="L278">
        <v>1736037</v>
      </c>
      <c r="M278" t="str">
        <f t="shared" si="4"/>
        <v>Sea Port</v>
      </c>
      <c r="N278" t="str">
        <f>TEXT(DATE(EXPORT[[#This Row],[Year]], A278, 1), "mmmm")</f>
        <v>January</v>
      </c>
    </row>
    <row r="279" spans="1:14" x14ac:dyDescent="0.3">
      <c r="A279">
        <v>1</v>
      </c>
      <c r="B279">
        <v>2020</v>
      </c>
      <c r="C279" t="s">
        <v>58</v>
      </c>
      <c r="D279">
        <v>27</v>
      </c>
      <c r="E279" t="s">
        <v>129</v>
      </c>
      <c r="F279" t="s">
        <v>190</v>
      </c>
      <c r="G279" t="s">
        <v>150</v>
      </c>
      <c r="H279" t="s">
        <v>151</v>
      </c>
      <c r="I279" t="s">
        <v>17</v>
      </c>
      <c r="J279">
        <v>0</v>
      </c>
      <c r="K279">
        <v>1045</v>
      </c>
      <c r="L279">
        <v>74558</v>
      </c>
      <c r="M279" t="str">
        <f t="shared" si="4"/>
        <v>ICD / Dry Port</v>
      </c>
      <c r="N279" t="str">
        <f>TEXT(DATE(EXPORT[[#This Row],[Year]], A279, 1), "mmmm")</f>
        <v>January</v>
      </c>
    </row>
    <row r="280" spans="1:14" x14ac:dyDescent="0.3">
      <c r="A280">
        <v>11</v>
      </c>
      <c r="B280">
        <v>2020</v>
      </c>
      <c r="C280" t="s">
        <v>23</v>
      </c>
      <c r="D280">
        <v>24</v>
      </c>
      <c r="E280" t="s">
        <v>24</v>
      </c>
      <c r="F280" t="s">
        <v>153</v>
      </c>
      <c r="G280" t="s">
        <v>173</v>
      </c>
      <c r="H280" t="s">
        <v>174</v>
      </c>
      <c r="I280" t="s">
        <v>17</v>
      </c>
      <c r="J280">
        <v>0</v>
      </c>
      <c r="K280">
        <v>494877</v>
      </c>
      <c r="L280">
        <v>36729703</v>
      </c>
      <c r="M280" t="str">
        <f t="shared" si="4"/>
        <v>Other</v>
      </c>
      <c r="N280" t="str">
        <f>TEXT(DATE(EXPORT[[#This Row],[Year]], A280, 1), "mmmm")</f>
        <v>November</v>
      </c>
    </row>
    <row r="281" spans="1:14" x14ac:dyDescent="0.3">
      <c r="A281">
        <v>5</v>
      </c>
      <c r="B281">
        <v>2019</v>
      </c>
      <c r="C281" t="s">
        <v>47</v>
      </c>
      <c r="D281">
        <v>7</v>
      </c>
      <c r="E281" t="s">
        <v>51</v>
      </c>
      <c r="F281" t="s">
        <v>217</v>
      </c>
      <c r="G281" t="s">
        <v>187</v>
      </c>
      <c r="H281" t="s">
        <v>188</v>
      </c>
      <c r="I281" t="s">
        <v>17</v>
      </c>
      <c r="J281">
        <v>0</v>
      </c>
      <c r="K281">
        <v>51055</v>
      </c>
      <c r="L281">
        <v>3562296</v>
      </c>
      <c r="M281" t="str">
        <f t="shared" si="4"/>
        <v>ICD / Dry Port</v>
      </c>
      <c r="N281" t="str">
        <f>TEXT(DATE(EXPORT[[#This Row],[Year]], A281, 1), "mmmm")</f>
        <v>May</v>
      </c>
    </row>
    <row r="282" spans="1:14" x14ac:dyDescent="0.3">
      <c r="A282">
        <v>11</v>
      </c>
      <c r="B282">
        <v>2020</v>
      </c>
      <c r="C282" t="s">
        <v>58</v>
      </c>
      <c r="D282">
        <v>27</v>
      </c>
      <c r="E282" t="s">
        <v>129</v>
      </c>
      <c r="F282" t="s">
        <v>180</v>
      </c>
      <c r="G282" t="s">
        <v>187</v>
      </c>
      <c r="H282" t="s">
        <v>188</v>
      </c>
      <c r="I282" t="s">
        <v>17</v>
      </c>
      <c r="J282">
        <v>0</v>
      </c>
      <c r="K282">
        <v>2310</v>
      </c>
      <c r="L282">
        <v>171464</v>
      </c>
      <c r="M282" t="str">
        <f t="shared" si="4"/>
        <v>ICD / Dry Port</v>
      </c>
      <c r="N282" t="str">
        <f>TEXT(DATE(EXPORT[[#This Row],[Year]], A282, 1), "mmmm")</f>
        <v>November</v>
      </c>
    </row>
    <row r="283" spans="1:14" x14ac:dyDescent="0.3">
      <c r="A283">
        <v>11</v>
      </c>
      <c r="B283">
        <v>2018</v>
      </c>
      <c r="C283" t="s">
        <v>47</v>
      </c>
      <c r="D283">
        <v>7</v>
      </c>
      <c r="E283" t="s">
        <v>48</v>
      </c>
      <c r="F283" t="s">
        <v>118</v>
      </c>
      <c r="G283" t="s">
        <v>150</v>
      </c>
      <c r="H283" t="s">
        <v>151</v>
      </c>
      <c r="I283" t="s">
        <v>17</v>
      </c>
      <c r="J283">
        <v>0</v>
      </c>
      <c r="K283">
        <v>17413</v>
      </c>
      <c r="L283">
        <v>1251206</v>
      </c>
      <c r="M283" t="str">
        <f t="shared" si="4"/>
        <v>Air Port</v>
      </c>
      <c r="N283" t="str">
        <f>TEXT(DATE(EXPORT[[#This Row],[Year]], A283, 1), "mmmm")</f>
        <v>November</v>
      </c>
    </row>
    <row r="284" spans="1:14" x14ac:dyDescent="0.3">
      <c r="A284">
        <v>5</v>
      </c>
      <c r="B284">
        <v>2019</v>
      </c>
      <c r="C284" t="s">
        <v>12</v>
      </c>
      <c r="D284">
        <v>8</v>
      </c>
      <c r="E284" t="s">
        <v>326</v>
      </c>
      <c r="F284" t="s">
        <v>35</v>
      </c>
      <c r="G284" t="s">
        <v>15</v>
      </c>
      <c r="H284" t="s">
        <v>16</v>
      </c>
      <c r="I284" t="s">
        <v>17</v>
      </c>
      <c r="J284">
        <v>0</v>
      </c>
      <c r="K284">
        <v>75287</v>
      </c>
      <c r="L284">
        <v>5253006</v>
      </c>
      <c r="M284" t="str">
        <f t="shared" si="4"/>
        <v>ICD / Dry Port</v>
      </c>
      <c r="N284" t="str">
        <f>TEXT(DATE(EXPORT[[#This Row],[Year]], A284, 1), "mmmm")</f>
        <v>May</v>
      </c>
    </row>
    <row r="285" spans="1:14" x14ac:dyDescent="0.3">
      <c r="A285">
        <v>3</v>
      </c>
      <c r="B285">
        <v>2022</v>
      </c>
      <c r="C285" t="s">
        <v>47</v>
      </c>
      <c r="D285">
        <v>7</v>
      </c>
      <c r="E285" t="s">
        <v>48</v>
      </c>
      <c r="F285" t="s">
        <v>85</v>
      </c>
      <c r="G285" t="s">
        <v>15</v>
      </c>
      <c r="H285" t="s">
        <v>16</v>
      </c>
      <c r="I285" t="s">
        <v>17</v>
      </c>
      <c r="J285">
        <v>0</v>
      </c>
      <c r="K285">
        <v>41</v>
      </c>
      <c r="L285">
        <v>3158</v>
      </c>
      <c r="M285" t="str">
        <f t="shared" si="4"/>
        <v>Air Port</v>
      </c>
      <c r="N285" t="str">
        <f>TEXT(DATE(EXPORT[[#This Row],[Year]], A285, 1), "mmmm")</f>
        <v>March</v>
      </c>
    </row>
    <row r="286" spans="1:14" x14ac:dyDescent="0.3">
      <c r="A286">
        <v>3</v>
      </c>
      <c r="B286">
        <v>2019</v>
      </c>
      <c r="C286" t="s">
        <v>42</v>
      </c>
      <c r="D286">
        <v>33</v>
      </c>
      <c r="E286" t="s">
        <v>111</v>
      </c>
      <c r="F286" t="s">
        <v>153</v>
      </c>
      <c r="G286" t="s">
        <v>26</v>
      </c>
      <c r="H286" t="s">
        <v>27</v>
      </c>
      <c r="I286" t="s">
        <v>17</v>
      </c>
      <c r="J286">
        <v>0</v>
      </c>
      <c r="K286">
        <v>129162</v>
      </c>
      <c r="L286">
        <v>8973969</v>
      </c>
      <c r="M286" t="str">
        <f t="shared" si="4"/>
        <v>Air Port</v>
      </c>
      <c r="N286" t="str">
        <f>TEXT(DATE(EXPORT[[#This Row],[Year]], A286, 1), "mmmm")</f>
        <v>March</v>
      </c>
    </row>
    <row r="287" spans="1:14" x14ac:dyDescent="0.3">
      <c r="A287">
        <v>9</v>
      </c>
      <c r="B287">
        <v>2022</v>
      </c>
      <c r="C287" t="s">
        <v>23</v>
      </c>
      <c r="D287">
        <v>24</v>
      </c>
      <c r="E287" t="s">
        <v>340</v>
      </c>
      <c r="F287" t="s">
        <v>341</v>
      </c>
      <c r="G287" t="s">
        <v>26</v>
      </c>
      <c r="H287" t="s">
        <v>27</v>
      </c>
      <c r="I287" t="s">
        <v>17</v>
      </c>
      <c r="J287">
        <v>0</v>
      </c>
      <c r="K287">
        <v>14</v>
      </c>
      <c r="L287">
        <v>1109</v>
      </c>
      <c r="M287" t="str">
        <f t="shared" si="4"/>
        <v>SEZ / Industrial Zone</v>
      </c>
      <c r="N287" t="str">
        <f>TEXT(DATE(EXPORT[[#This Row],[Year]], A287, 1), "mmmm")</f>
        <v>September</v>
      </c>
    </row>
    <row r="288" spans="1:14" x14ac:dyDescent="0.3">
      <c r="A288">
        <v>6</v>
      </c>
      <c r="B288">
        <v>2022</v>
      </c>
      <c r="C288" t="s">
        <v>47</v>
      </c>
      <c r="D288">
        <v>7</v>
      </c>
      <c r="E288" t="s">
        <v>48</v>
      </c>
      <c r="F288" t="s">
        <v>35</v>
      </c>
      <c r="G288" t="s">
        <v>31</v>
      </c>
      <c r="H288" t="s">
        <v>32</v>
      </c>
      <c r="I288" t="s">
        <v>17</v>
      </c>
      <c r="J288">
        <v>0</v>
      </c>
      <c r="K288">
        <v>2134143</v>
      </c>
      <c r="L288">
        <v>166622350</v>
      </c>
      <c r="M288" t="str">
        <f t="shared" si="4"/>
        <v>Air Port</v>
      </c>
      <c r="N288" t="str">
        <f>TEXT(DATE(EXPORT[[#This Row],[Year]], A288, 1), "mmmm")</f>
        <v>June</v>
      </c>
    </row>
    <row r="289" spans="1:14" x14ac:dyDescent="0.3">
      <c r="A289">
        <v>7</v>
      </c>
      <c r="B289">
        <v>2022</v>
      </c>
      <c r="C289" t="s">
        <v>12</v>
      </c>
      <c r="D289">
        <v>8</v>
      </c>
      <c r="E289" t="s">
        <v>342</v>
      </c>
      <c r="F289" t="s">
        <v>294</v>
      </c>
      <c r="G289" t="s">
        <v>278</v>
      </c>
      <c r="H289" t="s">
        <v>279</v>
      </c>
      <c r="I289" t="s">
        <v>17</v>
      </c>
      <c r="J289">
        <v>0</v>
      </c>
      <c r="K289">
        <v>27441</v>
      </c>
      <c r="L289">
        <v>2184335</v>
      </c>
      <c r="M289" t="str">
        <f t="shared" si="4"/>
        <v>ICD / Dry Port</v>
      </c>
      <c r="N289" t="str">
        <f>TEXT(DATE(EXPORT[[#This Row],[Year]], A289, 1), "mmmm")</f>
        <v>July</v>
      </c>
    </row>
    <row r="290" spans="1:14" x14ac:dyDescent="0.3">
      <c r="A290">
        <v>12</v>
      </c>
      <c r="B290">
        <v>2022</v>
      </c>
      <c r="C290" t="s">
        <v>42</v>
      </c>
      <c r="D290">
        <v>33</v>
      </c>
      <c r="E290" t="s">
        <v>43</v>
      </c>
      <c r="F290" t="s">
        <v>98</v>
      </c>
      <c r="G290" t="s">
        <v>65</v>
      </c>
      <c r="H290" t="s">
        <v>66</v>
      </c>
      <c r="I290" t="s">
        <v>17</v>
      </c>
      <c r="J290">
        <v>0</v>
      </c>
      <c r="K290">
        <v>327785</v>
      </c>
      <c r="L290">
        <v>27030546</v>
      </c>
      <c r="M290" t="str">
        <f t="shared" si="4"/>
        <v>Sea Port</v>
      </c>
      <c r="N290" t="str">
        <f>TEXT(DATE(EXPORT[[#This Row],[Year]], A290, 1), "mmmm")</f>
        <v>December</v>
      </c>
    </row>
    <row r="291" spans="1:14" x14ac:dyDescent="0.3">
      <c r="A291">
        <v>8</v>
      </c>
      <c r="B291">
        <v>2022</v>
      </c>
      <c r="C291" t="s">
        <v>42</v>
      </c>
      <c r="D291">
        <v>33</v>
      </c>
      <c r="E291" t="s">
        <v>111</v>
      </c>
      <c r="F291" t="s">
        <v>186</v>
      </c>
      <c r="G291" t="s">
        <v>127</v>
      </c>
      <c r="H291" t="s">
        <v>128</v>
      </c>
      <c r="I291" t="s">
        <v>17</v>
      </c>
      <c r="J291">
        <v>0</v>
      </c>
      <c r="K291">
        <v>17151</v>
      </c>
      <c r="L291">
        <v>1364463</v>
      </c>
      <c r="M291" t="str">
        <f t="shared" si="4"/>
        <v>Air Port</v>
      </c>
      <c r="N291" t="str">
        <f>TEXT(DATE(EXPORT[[#This Row],[Year]], A291, 1), "mmmm")</f>
        <v>August</v>
      </c>
    </row>
    <row r="292" spans="1:14" x14ac:dyDescent="0.3">
      <c r="A292">
        <v>10</v>
      </c>
      <c r="B292">
        <v>2019</v>
      </c>
      <c r="C292" t="s">
        <v>58</v>
      </c>
      <c r="D292">
        <v>27</v>
      </c>
      <c r="E292" t="s">
        <v>129</v>
      </c>
      <c r="F292" t="s">
        <v>115</v>
      </c>
      <c r="G292" t="s">
        <v>99</v>
      </c>
      <c r="H292" t="s">
        <v>100</v>
      </c>
      <c r="I292" t="s">
        <v>17</v>
      </c>
      <c r="J292">
        <v>0</v>
      </c>
      <c r="K292">
        <v>729</v>
      </c>
      <c r="L292">
        <v>51781</v>
      </c>
      <c r="M292" t="str">
        <f t="shared" si="4"/>
        <v>ICD / Dry Port</v>
      </c>
      <c r="N292" t="str">
        <f>TEXT(DATE(EXPORT[[#This Row],[Year]], A292, 1), "mmmm")</f>
        <v>October</v>
      </c>
    </row>
    <row r="293" spans="1:14" x14ac:dyDescent="0.3">
      <c r="A293">
        <v>1</v>
      </c>
      <c r="B293">
        <v>2020</v>
      </c>
      <c r="C293" t="s">
        <v>58</v>
      </c>
      <c r="D293">
        <v>27</v>
      </c>
      <c r="E293" t="s">
        <v>125</v>
      </c>
      <c r="F293" t="s">
        <v>289</v>
      </c>
      <c r="G293" t="s">
        <v>298</v>
      </c>
      <c r="H293" t="s">
        <v>299</v>
      </c>
      <c r="I293" t="s">
        <v>17</v>
      </c>
      <c r="J293">
        <v>0</v>
      </c>
      <c r="K293">
        <v>111</v>
      </c>
      <c r="L293">
        <v>7940</v>
      </c>
      <c r="M293" t="str">
        <f t="shared" si="4"/>
        <v>Air Port</v>
      </c>
      <c r="N293" t="str">
        <f>TEXT(DATE(EXPORT[[#This Row],[Year]], A293, 1), "mmmm")</f>
        <v>January</v>
      </c>
    </row>
    <row r="294" spans="1:14" x14ac:dyDescent="0.3">
      <c r="A294">
        <v>1</v>
      </c>
      <c r="B294">
        <v>2020</v>
      </c>
      <c r="C294" t="s">
        <v>28</v>
      </c>
      <c r="D294">
        <v>29</v>
      </c>
      <c r="E294" t="s">
        <v>29</v>
      </c>
      <c r="F294" t="s">
        <v>288</v>
      </c>
      <c r="G294" t="s">
        <v>36</v>
      </c>
      <c r="H294" t="s">
        <v>37</v>
      </c>
      <c r="I294" t="s">
        <v>17</v>
      </c>
      <c r="J294">
        <v>0</v>
      </c>
      <c r="K294">
        <v>3081</v>
      </c>
      <c r="L294">
        <v>219684</v>
      </c>
      <c r="M294" t="str">
        <f t="shared" si="4"/>
        <v>Sea Port</v>
      </c>
      <c r="N294" t="str">
        <f>TEXT(DATE(EXPORT[[#This Row],[Year]], A294, 1), "mmmm")</f>
        <v>January</v>
      </c>
    </row>
    <row r="295" spans="1:14" x14ac:dyDescent="0.3">
      <c r="A295">
        <v>7</v>
      </c>
      <c r="B295">
        <v>2019</v>
      </c>
      <c r="C295" t="s">
        <v>42</v>
      </c>
      <c r="D295">
        <v>33</v>
      </c>
      <c r="E295" t="s">
        <v>152</v>
      </c>
      <c r="F295" t="s">
        <v>317</v>
      </c>
      <c r="G295" t="s">
        <v>116</v>
      </c>
      <c r="H295" t="s">
        <v>117</v>
      </c>
      <c r="I295" t="s">
        <v>17</v>
      </c>
      <c r="J295">
        <v>0</v>
      </c>
      <c r="K295">
        <v>62420</v>
      </c>
      <c r="L295">
        <v>4294999</v>
      </c>
      <c r="M295" t="str">
        <f t="shared" si="4"/>
        <v>ICD / Dry Port</v>
      </c>
      <c r="N295" t="str">
        <f>TEXT(DATE(EXPORT[[#This Row],[Year]], A295, 1), "mmmm")</f>
        <v>July</v>
      </c>
    </row>
    <row r="296" spans="1:14" x14ac:dyDescent="0.3">
      <c r="A296">
        <v>2</v>
      </c>
      <c r="B296">
        <v>2021</v>
      </c>
      <c r="C296" t="s">
        <v>42</v>
      </c>
      <c r="D296">
        <v>33</v>
      </c>
      <c r="E296" t="s">
        <v>343</v>
      </c>
      <c r="F296" t="s">
        <v>241</v>
      </c>
      <c r="G296" t="s">
        <v>338</v>
      </c>
      <c r="H296" t="s">
        <v>339</v>
      </c>
      <c r="I296" t="s">
        <v>17</v>
      </c>
      <c r="J296">
        <v>0</v>
      </c>
      <c r="K296">
        <v>97570</v>
      </c>
      <c r="L296">
        <v>7098866</v>
      </c>
      <c r="M296" t="str">
        <f t="shared" si="4"/>
        <v>ICD / Dry Port</v>
      </c>
      <c r="N296" t="str">
        <f>TEXT(DATE(EXPORT[[#This Row],[Year]], A296, 1), "mmmm")</f>
        <v>February</v>
      </c>
    </row>
    <row r="297" spans="1:14" x14ac:dyDescent="0.3">
      <c r="A297">
        <v>8</v>
      </c>
      <c r="B297">
        <v>2019</v>
      </c>
      <c r="C297" t="s">
        <v>58</v>
      </c>
      <c r="D297">
        <v>27</v>
      </c>
      <c r="E297" t="s">
        <v>125</v>
      </c>
      <c r="F297" t="s">
        <v>344</v>
      </c>
      <c r="G297" t="s">
        <v>157</v>
      </c>
      <c r="H297" t="s">
        <v>158</v>
      </c>
      <c r="I297" t="s">
        <v>17</v>
      </c>
      <c r="J297">
        <v>0</v>
      </c>
      <c r="K297">
        <v>681</v>
      </c>
      <c r="L297">
        <v>48421</v>
      </c>
      <c r="M297" t="str">
        <f t="shared" si="4"/>
        <v>Air Port</v>
      </c>
      <c r="N297" t="str">
        <f>TEXT(DATE(EXPORT[[#This Row],[Year]], A297, 1), "mmmm")</f>
        <v>August</v>
      </c>
    </row>
    <row r="298" spans="1:14" x14ac:dyDescent="0.3">
      <c r="A298">
        <v>7</v>
      </c>
      <c r="B298">
        <v>2019</v>
      </c>
      <c r="C298" t="s">
        <v>42</v>
      </c>
      <c r="D298">
        <v>33</v>
      </c>
      <c r="E298" t="s">
        <v>176</v>
      </c>
      <c r="F298" t="s">
        <v>345</v>
      </c>
      <c r="G298" t="s">
        <v>154</v>
      </c>
      <c r="H298" t="s">
        <v>155</v>
      </c>
      <c r="I298" t="s">
        <v>17</v>
      </c>
      <c r="J298">
        <v>0</v>
      </c>
      <c r="K298">
        <v>4478</v>
      </c>
      <c r="L298">
        <v>308103</v>
      </c>
      <c r="M298" t="str">
        <f t="shared" si="4"/>
        <v>Sea Port</v>
      </c>
      <c r="N298" t="str">
        <f>TEXT(DATE(EXPORT[[#This Row],[Year]], A298, 1), "mmmm")</f>
        <v>July</v>
      </c>
    </row>
    <row r="299" spans="1:14" x14ac:dyDescent="0.3">
      <c r="A299">
        <v>11</v>
      </c>
      <c r="B299">
        <v>2022</v>
      </c>
      <c r="C299" t="s">
        <v>18</v>
      </c>
      <c r="D299">
        <v>6</v>
      </c>
      <c r="E299" t="s">
        <v>19</v>
      </c>
      <c r="F299" t="s">
        <v>118</v>
      </c>
      <c r="G299" t="s">
        <v>15</v>
      </c>
      <c r="H299" t="s">
        <v>16</v>
      </c>
      <c r="I299" t="s">
        <v>17</v>
      </c>
      <c r="J299">
        <v>0</v>
      </c>
      <c r="K299">
        <v>254537</v>
      </c>
      <c r="L299">
        <v>20823777</v>
      </c>
      <c r="M299" t="str">
        <f t="shared" si="4"/>
        <v>ICD / Dry Port</v>
      </c>
      <c r="N299" t="str">
        <f>TEXT(DATE(EXPORT[[#This Row],[Year]], A299, 1), "mmmm")</f>
        <v>November</v>
      </c>
    </row>
    <row r="300" spans="1:14" x14ac:dyDescent="0.3">
      <c r="A300">
        <v>4</v>
      </c>
      <c r="B300">
        <v>2018</v>
      </c>
      <c r="C300" t="s">
        <v>28</v>
      </c>
      <c r="D300">
        <v>29</v>
      </c>
      <c r="E300" t="s">
        <v>346</v>
      </c>
      <c r="F300" t="s">
        <v>294</v>
      </c>
      <c r="G300" t="s">
        <v>15</v>
      </c>
      <c r="H300" t="s">
        <v>16</v>
      </c>
      <c r="I300" t="s">
        <v>17</v>
      </c>
      <c r="J300">
        <v>0</v>
      </c>
      <c r="K300">
        <v>229</v>
      </c>
      <c r="L300">
        <v>15000</v>
      </c>
      <c r="M300" t="str">
        <f t="shared" si="4"/>
        <v>SEZ / Industrial Zone</v>
      </c>
      <c r="N300" t="str">
        <f>TEXT(DATE(EXPORT[[#This Row],[Year]], A300, 1), "mmmm")</f>
        <v>April</v>
      </c>
    </row>
    <row r="301" spans="1:14" x14ac:dyDescent="0.3">
      <c r="A301">
        <v>3</v>
      </c>
      <c r="B301">
        <v>2019</v>
      </c>
      <c r="C301" t="s">
        <v>23</v>
      </c>
      <c r="D301">
        <v>24</v>
      </c>
      <c r="E301" t="s">
        <v>24</v>
      </c>
      <c r="F301" t="s">
        <v>68</v>
      </c>
      <c r="G301" t="s">
        <v>160</v>
      </c>
      <c r="H301" t="s">
        <v>161</v>
      </c>
      <c r="I301" t="s">
        <v>17</v>
      </c>
      <c r="J301">
        <v>0</v>
      </c>
      <c r="K301">
        <v>295631</v>
      </c>
      <c r="L301">
        <v>20540049</v>
      </c>
      <c r="M301" t="str">
        <f t="shared" si="4"/>
        <v>Other</v>
      </c>
      <c r="N301" t="str">
        <f>TEXT(DATE(EXPORT[[#This Row],[Year]], A301, 1), "mmmm")</f>
        <v>March</v>
      </c>
    </row>
    <row r="302" spans="1:14" x14ac:dyDescent="0.3">
      <c r="A302">
        <v>5</v>
      </c>
      <c r="B302">
        <v>2019</v>
      </c>
      <c r="C302" t="s">
        <v>23</v>
      </c>
      <c r="D302">
        <v>24</v>
      </c>
      <c r="E302" t="s">
        <v>38</v>
      </c>
      <c r="F302" t="s">
        <v>115</v>
      </c>
      <c r="G302" t="s">
        <v>347</v>
      </c>
      <c r="H302" t="s">
        <v>348</v>
      </c>
      <c r="I302" t="s">
        <v>17</v>
      </c>
      <c r="J302">
        <v>0</v>
      </c>
      <c r="K302">
        <v>151</v>
      </c>
      <c r="L302">
        <v>10564</v>
      </c>
      <c r="M302" t="str">
        <f t="shared" si="4"/>
        <v>ICD / Dry Port</v>
      </c>
      <c r="N302" t="str">
        <f>TEXT(DATE(EXPORT[[#This Row],[Year]], A302, 1), "mmmm")</f>
        <v>May</v>
      </c>
    </row>
    <row r="303" spans="1:14" x14ac:dyDescent="0.3">
      <c r="A303">
        <v>12</v>
      </c>
      <c r="B303">
        <v>2018</v>
      </c>
      <c r="C303" t="s">
        <v>28</v>
      </c>
      <c r="D303">
        <v>29</v>
      </c>
      <c r="E303" t="s">
        <v>236</v>
      </c>
      <c r="F303" t="s">
        <v>229</v>
      </c>
      <c r="G303" t="s">
        <v>21</v>
      </c>
      <c r="H303" t="s">
        <v>22</v>
      </c>
      <c r="I303" t="s">
        <v>17</v>
      </c>
      <c r="J303">
        <v>0</v>
      </c>
      <c r="K303">
        <v>9104</v>
      </c>
      <c r="L303">
        <v>643907</v>
      </c>
      <c r="M303" t="str">
        <f t="shared" si="4"/>
        <v>ICD / Dry Port</v>
      </c>
      <c r="N303" t="str">
        <f>TEXT(DATE(EXPORT[[#This Row],[Year]], A303, 1), "mmmm")</f>
        <v>December</v>
      </c>
    </row>
    <row r="304" spans="1:14" x14ac:dyDescent="0.3">
      <c r="A304">
        <v>11</v>
      </c>
      <c r="B304">
        <v>2020</v>
      </c>
      <c r="C304" t="s">
        <v>42</v>
      </c>
      <c r="D304">
        <v>33</v>
      </c>
      <c r="E304" t="s">
        <v>349</v>
      </c>
      <c r="F304" t="s">
        <v>350</v>
      </c>
      <c r="G304" t="s">
        <v>116</v>
      </c>
      <c r="H304" t="s">
        <v>117</v>
      </c>
      <c r="I304" t="s">
        <v>17</v>
      </c>
      <c r="J304">
        <v>0</v>
      </c>
      <c r="K304">
        <v>9036</v>
      </c>
      <c r="L304">
        <v>670631</v>
      </c>
      <c r="M304" t="str">
        <f t="shared" si="4"/>
        <v>ICD / Dry Port</v>
      </c>
      <c r="N304" t="str">
        <f>TEXT(DATE(EXPORT[[#This Row],[Year]], A304, 1), "mmmm")</f>
        <v>November</v>
      </c>
    </row>
    <row r="305" spans="1:14" x14ac:dyDescent="0.3">
      <c r="A305">
        <v>11</v>
      </c>
      <c r="B305">
        <v>2019</v>
      </c>
      <c r="C305" t="s">
        <v>28</v>
      </c>
      <c r="D305">
        <v>29</v>
      </c>
      <c r="E305" t="s">
        <v>29</v>
      </c>
      <c r="F305" t="s">
        <v>149</v>
      </c>
      <c r="G305" t="s">
        <v>65</v>
      </c>
      <c r="H305" t="s">
        <v>66</v>
      </c>
      <c r="I305" t="s">
        <v>17</v>
      </c>
      <c r="J305">
        <v>0</v>
      </c>
      <c r="K305">
        <v>364</v>
      </c>
      <c r="L305">
        <v>26019</v>
      </c>
      <c r="M305" t="str">
        <f t="shared" si="4"/>
        <v>Sea Port</v>
      </c>
      <c r="N305" t="str">
        <f>TEXT(DATE(EXPORT[[#This Row],[Year]], A305, 1), "mmmm")</f>
        <v>November</v>
      </c>
    </row>
    <row r="306" spans="1:14" x14ac:dyDescent="0.3">
      <c r="A306">
        <v>9</v>
      </c>
      <c r="B306">
        <v>2020</v>
      </c>
      <c r="C306" t="s">
        <v>58</v>
      </c>
      <c r="D306">
        <v>27</v>
      </c>
      <c r="E306" t="s">
        <v>59</v>
      </c>
      <c r="F306" t="s">
        <v>247</v>
      </c>
      <c r="G306" t="s">
        <v>116</v>
      </c>
      <c r="H306" t="s">
        <v>117</v>
      </c>
      <c r="I306" t="s">
        <v>17</v>
      </c>
      <c r="J306">
        <v>0</v>
      </c>
      <c r="K306">
        <v>1782</v>
      </c>
      <c r="L306">
        <v>130977</v>
      </c>
      <c r="M306" t="str">
        <f t="shared" si="4"/>
        <v>Sea Port</v>
      </c>
      <c r="N306" t="str">
        <f>TEXT(DATE(EXPORT[[#This Row],[Year]], A306, 1), "mmmm")</f>
        <v>September</v>
      </c>
    </row>
    <row r="307" spans="1:14" x14ac:dyDescent="0.3">
      <c r="A307">
        <v>9</v>
      </c>
      <c r="B307">
        <v>2021</v>
      </c>
      <c r="C307" t="s">
        <v>33</v>
      </c>
      <c r="D307">
        <v>32</v>
      </c>
      <c r="E307" t="s">
        <v>214</v>
      </c>
      <c r="F307" t="s">
        <v>35</v>
      </c>
      <c r="G307" t="s">
        <v>52</v>
      </c>
      <c r="H307" t="s">
        <v>53</v>
      </c>
      <c r="I307" t="s">
        <v>17</v>
      </c>
      <c r="J307">
        <v>0</v>
      </c>
      <c r="K307">
        <v>1520573</v>
      </c>
      <c r="L307">
        <v>111858508</v>
      </c>
      <c r="M307" t="str">
        <f t="shared" si="4"/>
        <v>Sea Port</v>
      </c>
      <c r="N307" t="str">
        <f>TEXT(DATE(EXPORT[[#This Row],[Year]], A307, 1), "mmmm")</f>
        <v>September</v>
      </c>
    </row>
    <row r="308" spans="1:14" x14ac:dyDescent="0.3">
      <c r="A308">
        <v>6</v>
      </c>
      <c r="B308">
        <v>2019</v>
      </c>
      <c r="C308" t="s">
        <v>18</v>
      </c>
      <c r="D308">
        <v>6</v>
      </c>
      <c r="E308" t="s">
        <v>97</v>
      </c>
      <c r="F308" t="s">
        <v>14</v>
      </c>
      <c r="G308" t="s">
        <v>187</v>
      </c>
      <c r="H308" t="s">
        <v>188</v>
      </c>
      <c r="I308" t="s">
        <v>17</v>
      </c>
      <c r="J308">
        <v>0</v>
      </c>
      <c r="K308">
        <v>10</v>
      </c>
      <c r="L308">
        <v>681</v>
      </c>
      <c r="M308" t="str">
        <f t="shared" si="4"/>
        <v>ICD / Dry Port</v>
      </c>
      <c r="N308" t="str">
        <f>TEXT(DATE(EXPORT[[#This Row],[Year]], A308, 1), "mmmm")</f>
        <v>June</v>
      </c>
    </row>
    <row r="309" spans="1:14" x14ac:dyDescent="0.3">
      <c r="A309">
        <v>8</v>
      </c>
      <c r="B309">
        <v>2023</v>
      </c>
      <c r="C309" t="s">
        <v>58</v>
      </c>
      <c r="D309">
        <v>27</v>
      </c>
      <c r="E309" t="s">
        <v>59</v>
      </c>
      <c r="F309" t="s">
        <v>217</v>
      </c>
      <c r="G309" t="s">
        <v>284</v>
      </c>
      <c r="H309" t="s">
        <v>285</v>
      </c>
      <c r="I309" t="s">
        <v>17</v>
      </c>
      <c r="J309">
        <v>0</v>
      </c>
      <c r="K309">
        <v>1282</v>
      </c>
      <c r="L309">
        <v>106113</v>
      </c>
      <c r="M309" t="str">
        <f t="shared" si="4"/>
        <v>Sea Port</v>
      </c>
      <c r="N309" t="str">
        <f>TEXT(DATE(EXPORT[[#This Row],[Year]], A309, 1), "mmmm")</f>
        <v>August</v>
      </c>
    </row>
    <row r="310" spans="1:14" x14ac:dyDescent="0.3">
      <c r="A310">
        <v>5</v>
      </c>
      <c r="B310">
        <v>2023</v>
      </c>
      <c r="C310" t="s">
        <v>23</v>
      </c>
      <c r="D310">
        <v>24</v>
      </c>
      <c r="E310" t="s">
        <v>218</v>
      </c>
      <c r="F310" t="s">
        <v>153</v>
      </c>
      <c r="G310" t="s">
        <v>227</v>
      </c>
      <c r="H310" t="s">
        <v>228</v>
      </c>
      <c r="I310" t="s">
        <v>17</v>
      </c>
      <c r="J310">
        <v>0</v>
      </c>
      <c r="K310">
        <v>1169</v>
      </c>
      <c r="L310">
        <v>96292</v>
      </c>
      <c r="M310" t="str">
        <f t="shared" si="4"/>
        <v>Air Port</v>
      </c>
      <c r="N310" t="str">
        <f>TEXT(DATE(EXPORT[[#This Row],[Year]], A310, 1), "mmmm")</f>
        <v>May</v>
      </c>
    </row>
    <row r="311" spans="1:14" x14ac:dyDescent="0.3">
      <c r="A311">
        <v>9</v>
      </c>
      <c r="B311">
        <v>2018</v>
      </c>
      <c r="C311" t="s">
        <v>42</v>
      </c>
      <c r="D311">
        <v>33</v>
      </c>
      <c r="E311" t="s">
        <v>43</v>
      </c>
      <c r="F311" t="s">
        <v>241</v>
      </c>
      <c r="G311" t="s">
        <v>187</v>
      </c>
      <c r="H311" t="s">
        <v>188</v>
      </c>
      <c r="I311" t="s">
        <v>17</v>
      </c>
      <c r="J311">
        <v>0</v>
      </c>
      <c r="K311">
        <v>60924</v>
      </c>
      <c r="L311">
        <v>4399624</v>
      </c>
      <c r="M311" t="str">
        <f t="shared" si="4"/>
        <v>Sea Port</v>
      </c>
      <c r="N311" t="str">
        <f>TEXT(DATE(EXPORT[[#This Row],[Year]], A311, 1), "mmmm")</f>
        <v>September</v>
      </c>
    </row>
    <row r="312" spans="1:14" x14ac:dyDescent="0.3">
      <c r="A312">
        <v>11</v>
      </c>
      <c r="B312">
        <v>2021</v>
      </c>
      <c r="C312" t="s">
        <v>79</v>
      </c>
      <c r="D312">
        <v>9</v>
      </c>
      <c r="E312" t="s">
        <v>351</v>
      </c>
      <c r="F312" t="s">
        <v>190</v>
      </c>
      <c r="G312" t="s">
        <v>103</v>
      </c>
      <c r="H312" t="s">
        <v>104</v>
      </c>
      <c r="I312" t="s">
        <v>17</v>
      </c>
      <c r="J312">
        <v>0</v>
      </c>
      <c r="K312">
        <v>455846</v>
      </c>
      <c r="L312">
        <v>33958900</v>
      </c>
      <c r="M312" t="str">
        <f t="shared" si="4"/>
        <v>ICD / Dry Port</v>
      </c>
      <c r="N312" t="str">
        <f>TEXT(DATE(EXPORT[[#This Row],[Year]], A312, 1), "mmmm")</f>
        <v>November</v>
      </c>
    </row>
    <row r="313" spans="1:14" x14ac:dyDescent="0.3">
      <c r="A313">
        <v>6</v>
      </c>
      <c r="B313">
        <v>2019</v>
      </c>
      <c r="C313" t="s">
        <v>58</v>
      </c>
      <c r="D313">
        <v>27</v>
      </c>
      <c r="E313" t="s">
        <v>59</v>
      </c>
      <c r="F313" t="s">
        <v>142</v>
      </c>
      <c r="G313" t="s">
        <v>318</v>
      </c>
      <c r="H313" t="s">
        <v>319</v>
      </c>
      <c r="I313" t="s">
        <v>17</v>
      </c>
      <c r="J313">
        <v>0</v>
      </c>
      <c r="K313">
        <v>35635</v>
      </c>
      <c r="L313">
        <v>2474489</v>
      </c>
      <c r="M313" t="str">
        <f t="shared" si="4"/>
        <v>Sea Port</v>
      </c>
      <c r="N313" t="str">
        <f>TEXT(DATE(EXPORT[[#This Row],[Year]], A313, 1), "mmmm")</f>
        <v>June</v>
      </c>
    </row>
    <row r="314" spans="1:14" x14ac:dyDescent="0.3">
      <c r="A314">
        <v>1</v>
      </c>
      <c r="B314">
        <v>2018</v>
      </c>
      <c r="C314" t="s">
        <v>42</v>
      </c>
      <c r="D314">
        <v>33</v>
      </c>
      <c r="E314" t="s">
        <v>352</v>
      </c>
      <c r="F314" t="s">
        <v>159</v>
      </c>
      <c r="G314" t="s">
        <v>95</v>
      </c>
      <c r="H314" t="s">
        <v>96</v>
      </c>
      <c r="I314" t="s">
        <v>17</v>
      </c>
      <c r="J314">
        <v>0</v>
      </c>
      <c r="K314">
        <v>5201</v>
      </c>
      <c r="L314">
        <v>330950</v>
      </c>
      <c r="M314" t="str">
        <f t="shared" si="4"/>
        <v>SEZ / Industrial Zone</v>
      </c>
      <c r="N314" t="str">
        <f>TEXT(DATE(EXPORT[[#This Row],[Year]], A314, 1), "mmmm")</f>
        <v>January</v>
      </c>
    </row>
    <row r="315" spans="1:14" x14ac:dyDescent="0.3">
      <c r="A315">
        <v>1</v>
      </c>
      <c r="B315">
        <v>2018</v>
      </c>
      <c r="C315" t="s">
        <v>47</v>
      </c>
      <c r="D315">
        <v>7</v>
      </c>
      <c r="E315" t="s">
        <v>51</v>
      </c>
      <c r="F315" t="s">
        <v>320</v>
      </c>
      <c r="G315" t="s">
        <v>21</v>
      </c>
      <c r="H315" t="s">
        <v>22</v>
      </c>
      <c r="I315" t="s">
        <v>17</v>
      </c>
      <c r="J315">
        <v>0</v>
      </c>
      <c r="K315">
        <v>23604</v>
      </c>
      <c r="L315">
        <v>1502104</v>
      </c>
      <c r="M315" t="str">
        <f t="shared" si="4"/>
        <v>ICD / Dry Port</v>
      </c>
      <c r="N315" t="str">
        <f>TEXT(DATE(EXPORT[[#This Row],[Year]], A315, 1), "mmmm")</f>
        <v>January</v>
      </c>
    </row>
    <row r="316" spans="1:14" x14ac:dyDescent="0.3">
      <c r="A316">
        <v>6</v>
      </c>
      <c r="B316">
        <v>2023</v>
      </c>
      <c r="C316" t="s">
        <v>137</v>
      </c>
      <c r="D316">
        <v>36</v>
      </c>
      <c r="E316" t="s">
        <v>148</v>
      </c>
      <c r="F316" t="s">
        <v>321</v>
      </c>
      <c r="G316" t="s">
        <v>244</v>
      </c>
      <c r="H316" t="s">
        <v>245</v>
      </c>
      <c r="I316" t="s">
        <v>17</v>
      </c>
      <c r="J316">
        <v>0</v>
      </c>
      <c r="K316">
        <v>19000</v>
      </c>
      <c r="L316">
        <v>1562472</v>
      </c>
      <c r="M316" t="str">
        <f t="shared" si="4"/>
        <v>Sea Port</v>
      </c>
      <c r="N316" t="str">
        <f>TEXT(DATE(EXPORT[[#This Row],[Year]], A316, 1), "mmmm")</f>
        <v>June</v>
      </c>
    </row>
    <row r="317" spans="1:14" x14ac:dyDescent="0.3">
      <c r="A317">
        <v>3</v>
      </c>
      <c r="B317">
        <v>2019</v>
      </c>
      <c r="C317" t="s">
        <v>73</v>
      </c>
      <c r="D317">
        <v>3</v>
      </c>
      <c r="E317" t="s">
        <v>181</v>
      </c>
      <c r="F317" t="s">
        <v>353</v>
      </c>
      <c r="G317" t="s">
        <v>86</v>
      </c>
      <c r="H317" t="s">
        <v>87</v>
      </c>
      <c r="I317" t="s">
        <v>17</v>
      </c>
      <c r="J317">
        <v>0</v>
      </c>
      <c r="K317">
        <v>4348</v>
      </c>
      <c r="L317">
        <v>302107</v>
      </c>
      <c r="M317" t="str">
        <f t="shared" si="4"/>
        <v>ICD / Dry Port</v>
      </c>
      <c r="N317" t="str">
        <f>TEXT(DATE(EXPORT[[#This Row],[Year]], A317, 1), "mmmm")</f>
        <v>March</v>
      </c>
    </row>
    <row r="318" spans="1:14" x14ac:dyDescent="0.3">
      <c r="A318">
        <v>9</v>
      </c>
      <c r="B318">
        <v>2021</v>
      </c>
      <c r="C318" t="s">
        <v>42</v>
      </c>
      <c r="D318">
        <v>33</v>
      </c>
      <c r="E318" t="s">
        <v>111</v>
      </c>
      <c r="F318" t="s">
        <v>354</v>
      </c>
      <c r="G318" t="s">
        <v>15</v>
      </c>
      <c r="H318" t="s">
        <v>16</v>
      </c>
      <c r="I318" t="s">
        <v>17</v>
      </c>
      <c r="J318">
        <v>0</v>
      </c>
      <c r="K318">
        <v>13</v>
      </c>
      <c r="L318">
        <v>949</v>
      </c>
      <c r="M318" t="str">
        <f t="shared" si="4"/>
        <v>Air Port</v>
      </c>
      <c r="N318" t="str">
        <f>TEXT(DATE(EXPORT[[#This Row],[Year]], A318, 1), "mmmm")</f>
        <v>September</v>
      </c>
    </row>
    <row r="319" spans="1:14" x14ac:dyDescent="0.3">
      <c r="A319">
        <v>1</v>
      </c>
      <c r="B319">
        <v>2022</v>
      </c>
      <c r="C319" t="s">
        <v>58</v>
      </c>
      <c r="D319">
        <v>27</v>
      </c>
      <c r="E319" t="s">
        <v>59</v>
      </c>
      <c r="F319" t="s">
        <v>98</v>
      </c>
      <c r="G319" t="s">
        <v>45</v>
      </c>
      <c r="H319" t="s">
        <v>46</v>
      </c>
      <c r="I319" t="s">
        <v>17</v>
      </c>
      <c r="J319">
        <v>0</v>
      </c>
      <c r="K319">
        <v>58210</v>
      </c>
      <c r="L319">
        <v>4333257</v>
      </c>
      <c r="M319" t="str">
        <f t="shared" si="4"/>
        <v>Sea Port</v>
      </c>
      <c r="N319" t="str">
        <f>TEXT(DATE(EXPORT[[#This Row],[Year]], A319, 1), "mmmm")</f>
        <v>January</v>
      </c>
    </row>
    <row r="320" spans="1:14" x14ac:dyDescent="0.3">
      <c r="A320">
        <v>9</v>
      </c>
      <c r="B320">
        <v>2019</v>
      </c>
      <c r="C320" t="s">
        <v>18</v>
      </c>
      <c r="D320">
        <v>6</v>
      </c>
      <c r="E320" t="s">
        <v>166</v>
      </c>
      <c r="F320" t="s">
        <v>145</v>
      </c>
      <c r="G320" t="s">
        <v>157</v>
      </c>
      <c r="H320" t="s">
        <v>158</v>
      </c>
      <c r="I320" t="s">
        <v>17</v>
      </c>
      <c r="J320">
        <v>0</v>
      </c>
      <c r="K320">
        <v>1</v>
      </c>
      <c r="L320">
        <v>92</v>
      </c>
      <c r="M320" t="str">
        <f t="shared" si="4"/>
        <v>ICD / Dry Port</v>
      </c>
      <c r="N320" t="str">
        <f>TEXT(DATE(EXPORT[[#This Row],[Year]], A320, 1), "mmmm")</f>
        <v>September</v>
      </c>
    </row>
    <row r="321" spans="1:14" x14ac:dyDescent="0.3">
      <c r="A321">
        <v>1</v>
      </c>
      <c r="B321">
        <v>2021</v>
      </c>
      <c r="C321" t="s">
        <v>79</v>
      </c>
      <c r="D321">
        <v>9</v>
      </c>
      <c r="E321" t="s">
        <v>162</v>
      </c>
      <c r="F321" t="s">
        <v>197</v>
      </c>
      <c r="G321" t="s">
        <v>86</v>
      </c>
      <c r="H321" t="s">
        <v>87</v>
      </c>
      <c r="I321" t="s">
        <v>17</v>
      </c>
      <c r="J321">
        <v>0</v>
      </c>
      <c r="K321">
        <v>433</v>
      </c>
      <c r="L321">
        <v>31651</v>
      </c>
      <c r="M321" t="str">
        <f t="shared" si="4"/>
        <v>ICD / Dry Port</v>
      </c>
      <c r="N321" t="str">
        <f>TEXT(DATE(EXPORT[[#This Row],[Year]], A321, 1), "mmmm")</f>
        <v>January</v>
      </c>
    </row>
    <row r="322" spans="1:14" x14ac:dyDescent="0.3">
      <c r="A322">
        <v>3</v>
      </c>
      <c r="B322">
        <v>2019</v>
      </c>
      <c r="C322" t="s">
        <v>33</v>
      </c>
      <c r="D322">
        <v>32</v>
      </c>
      <c r="E322" t="s">
        <v>34</v>
      </c>
      <c r="F322" t="s">
        <v>98</v>
      </c>
      <c r="G322" t="s">
        <v>127</v>
      </c>
      <c r="H322" t="s">
        <v>128</v>
      </c>
      <c r="I322" t="s">
        <v>17</v>
      </c>
      <c r="J322">
        <v>0</v>
      </c>
      <c r="K322">
        <v>601</v>
      </c>
      <c r="L322">
        <v>41739</v>
      </c>
      <c r="M322" t="str">
        <f t="shared" ref="M322:M385" si="5">IF(OR(ISNUMBER(SEARCH("ICD",E322)),ISNUMBER(SEARCH("Dry Port",E322))),"ICD / Dry Port", IF(OR(ISNUMBER(SEARCH("Sea",E322)),ISNUMBER(SEARCH("Port",E322))),"Sea Port", IF(OR(ISNUMBER(SEARCH("Air",E322)),ISNUMBER(SEARCH("Airport",E322))),"Air Port", IF(ISNUMBER(SEARCH("CFS",E322)),"CFS", IF(OR(ISNUMBER(SEARCH("SEZ",E322)),ISNUMBER(SEARCH("EPZ",E322)),ISNUMBER(SEARCH("FTWZ",E322)),ISNUMBER(SEARCH("City",E322)),ISNUMBER(SEARCH("Park",E322))),"SEZ / Industrial Zone", IF(OR(ISNUMBER(SEARCH("Land",E322)),ISNUMBER(SEARCH("LCS",E322)),ISNUMBER(SEARCH("Rly",E322))),"Land Port", "Other"))))))</f>
        <v>Sea Port</v>
      </c>
      <c r="N322" t="str">
        <f>TEXT(DATE(EXPORT[[#This Row],[Year]], A322, 1), "mmmm")</f>
        <v>March</v>
      </c>
    </row>
    <row r="323" spans="1:14" x14ac:dyDescent="0.3">
      <c r="A323">
        <v>6</v>
      </c>
      <c r="B323">
        <v>2019</v>
      </c>
      <c r="C323" t="s">
        <v>79</v>
      </c>
      <c r="D323">
        <v>9</v>
      </c>
      <c r="E323" t="s">
        <v>189</v>
      </c>
      <c r="F323" t="s">
        <v>355</v>
      </c>
      <c r="G323" t="s">
        <v>15</v>
      </c>
      <c r="H323" t="s">
        <v>16</v>
      </c>
      <c r="I323" t="s">
        <v>17</v>
      </c>
      <c r="J323">
        <v>0</v>
      </c>
      <c r="K323">
        <v>40836</v>
      </c>
      <c r="L323">
        <v>2835612</v>
      </c>
      <c r="M323" t="str">
        <f t="shared" si="5"/>
        <v>Other</v>
      </c>
      <c r="N323" t="str">
        <f>TEXT(DATE(EXPORT[[#This Row],[Year]], A323, 1), "mmmm")</f>
        <v>June</v>
      </c>
    </row>
    <row r="324" spans="1:14" x14ac:dyDescent="0.3">
      <c r="A324">
        <v>11</v>
      </c>
      <c r="B324">
        <v>2018</v>
      </c>
      <c r="C324" t="s">
        <v>42</v>
      </c>
      <c r="D324">
        <v>33</v>
      </c>
      <c r="E324" t="s">
        <v>111</v>
      </c>
      <c r="F324" t="s">
        <v>241</v>
      </c>
      <c r="G324" t="s">
        <v>356</v>
      </c>
      <c r="H324" t="s">
        <v>357</v>
      </c>
      <c r="I324" t="s">
        <v>17</v>
      </c>
      <c r="J324">
        <v>0</v>
      </c>
      <c r="K324">
        <v>6110</v>
      </c>
      <c r="L324">
        <v>438994</v>
      </c>
      <c r="M324" t="str">
        <f t="shared" si="5"/>
        <v>Air Port</v>
      </c>
      <c r="N324" t="str">
        <f>TEXT(DATE(EXPORT[[#This Row],[Year]], A324, 1), "mmmm")</f>
        <v>November</v>
      </c>
    </row>
    <row r="325" spans="1:14" x14ac:dyDescent="0.3">
      <c r="A325">
        <v>7</v>
      </c>
      <c r="B325">
        <v>2022</v>
      </c>
      <c r="C325" t="s">
        <v>58</v>
      </c>
      <c r="D325">
        <v>27</v>
      </c>
      <c r="E325" t="s">
        <v>125</v>
      </c>
      <c r="F325" t="s">
        <v>44</v>
      </c>
      <c r="G325" t="s">
        <v>358</v>
      </c>
      <c r="H325" t="s">
        <v>359</v>
      </c>
      <c r="I325" t="s">
        <v>360</v>
      </c>
      <c r="J325">
        <v>0</v>
      </c>
      <c r="K325">
        <v>6017</v>
      </c>
      <c r="L325">
        <v>478975</v>
      </c>
      <c r="M325" t="str">
        <f t="shared" si="5"/>
        <v>Air Port</v>
      </c>
      <c r="N325" t="str">
        <f>TEXT(DATE(EXPORT[[#This Row],[Year]], A325, 1), "mmmm")</f>
        <v>July</v>
      </c>
    </row>
    <row r="326" spans="1:14" x14ac:dyDescent="0.3">
      <c r="A326">
        <v>1</v>
      </c>
      <c r="B326">
        <v>2021</v>
      </c>
      <c r="C326" t="s">
        <v>23</v>
      </c>
      <c r="D326">
        <v>24</v>
      </c>
      <c r="E326" t="s">
        <v>38</v>
      </c>
      <c r="F326" t="s">
        <v>277</v>
      </c>
      <c r="G326" t="s">
        <v>361</v>
      </c>
      <c r="H326" t="s">
        <v>362</v>
      </c>
      <c r="I326" t="s">
        <v>360</v>
      </c>
      <c r="J326">
        <v>0</v>
      </c>
      <c r="K326">
        <v>173</v>
      </c>
      <c r="L326">
        <v>12628</v>
      </c>
      <c r="M326" t="str">
        <f t="shared" si="5"/>
        <v>ICD / Dry Port</v>
      </c>
      <c r="N326" t="str">
        <f>TEXT(DATE(EXPORT[[#This Row],[Year]], A326, 1), "mmmm")</f>
        <v>January</v>
      </c>
    </row>
    <row r="327" spans="1:14" x14ac:dyDescent="0.3">
      <c r="A327">
        <v>8</v>
      </c>
      <c r="B327">
        <v>2021</v>
      </c>
      <c r="C327" t="s">
        <v>23</v>
      </c>
      <c r="D327">
        <v>24</v>
      </c>
      <c r="E327" t="s">
        <v>218</v>
      </c>
      <c r="F327" t="s">
        <v>167</v>
      </c>
      <c r="G327" t="s">
        <v>363</v>
      </c>
      <c r="H327" t="s">
        <v>364</v>
      </c>
      <c r="I327" t="s">
        <v>365</v>
      </c>
      <c r="J327">
        <v>0</v>
      </c>
      <c r="K327">
        <v>1</v>
      </c>
      <c r="L327">
        <v>73</v>
      </c>
      <c r="M327" t="str">
        <f t="shared" si="5"/>
        <v>Air Port</v>
      </c>
      <c r="N327" t="str">
        <f>TEXT(DATE(EXPORT[[#This Row],[Year]], A327, 1), "mmmm")</f>
        <v>August</v>
      </c>
    </row>
    <row r="328" spans="1:14" x14ac:dyDescent="0.3">
      <c r="A328">
        <v>5</v>
      </c>
      <c r="B328">
        <v>2018</v>
      </c>
      <c r="C328" t="s">
        <v>23</v>
      </c>
      <c r="D328">
        <v>24</v>
      </c>
      <c r="E328" t="s">
        <v>218</v>
      </c>
      <c r="F328" t="s">
        <v>220</v>
      </c>
      <c r="G328" t="s">
        <v>366</v>
      </c>
      <c r="H328" t="s">
        <v>367</v>
      </c>
      <c r="I328" t="s">
        <v>360</v>
      </c>
      <c r="J328">
        <v>0</v>
      </c>
      <c r="K328">
        <v>3120</v>
      </c>
      <c r="L328">
        <v>210692</v>
      </c>
      <c r="M328" t="str">
        <f t="shared" si="5"/>
        <v>Air Port</v>
      </c>
      <c r="N328" t="str">
        <f>TEXT(DATE(EXPORT[[#This Row],[Year]], A328, 1), "mmmm")</f>
        <v>May</v>
      </c>
    </row>
    <row r="329" spans="1:14" x14ac:dyDescent="0.3">
      <c r="A329">
        <v>2</v>
      </c>
      <c r="B329">
        <v>2022</v>
      </c>
      <c r="C329" t="s">
        <v>79</v>
      </c>
      <c r="D329">
        <v>9</v>
      </c>
      <c r="E329" t="s">
        <v>189</v>
      </c>
      <c r="F329" t="s">
        <v>194</v>
      </c>
      <c r="G329" t="s">
        <v>368</v>
      </c>
      <c r="H329" t="s">
        <v>369</v>
      </c>
      <c r="I329" t="s">
        <v>360</v>
      </c>
      <c r="J329">
        <v>0</v>
      </c>
      <c r="K329">
        <v>119</v>
      </c>
      <c r="L329">
        <v>8928</v>
      </c>
      <c r="M329" t="str">
        <f t="shared" si="5"/>
        <v>Other</v>
      </c>
      <c r="N329" t="str">
        <f>TEXT(DATE(EXPORT[[#This Row],[Year]], A329, 1), "mmmm")</f>
        <v>February</v>
      </c>
    </row>
    <row r="330" spans="1:14" x14ac:dyDescent="0.3">
      <c r="A330">
        <v>3</v>
      </c>
      <c r="B330">
        <v>2021</v>
      </c>
      <c r="C330" t="s">
        <v>23</v>
      </c>
      <c r="D330">
        <v>24</v>
      </c>
      <c r="E330" t="s">
        <v>218</v>
      </c>
      <c r="F330" t="s">
        <v>153</v>
      </c>
      <c r="G330" t="s">
        <v>370</v>
      </c>
      <c r="H330" t="s">
        <v>371</v>
      </c>
      <c r="I330" t="s">
        <v>360</v>
      </c>
      <c r="J330">
        <v>0</v>
      </c>
      <c r="K330">
        <v>2687</v>
      </c>
      <c r="L330">
        <v>195580</v>
      </c>
      <c r="M330" t="str">
        <f t="shared" si="5"/>
        <v>Air Port</v>
      </c>
      <c r="N330" t="str">
        <f>TEXT(DATE(EXPORT[[#This Row],[Year]], A330, 1), "mmmm")</f>
        <v>March</v>
      </c>
    </row>
    <row r="331" spans="1:14" x14ac:dyDescent="0.3">
      <c r="A331">
        <v>2</v>
      </c>
      <c r="B331">
        <v>2020</v>
      </c>
      <c r="C331" t="s">
        <v>33</v>
      </c>
      <c r="D331">
        <v>32</v>
      </c>
      <c r="E331" t="s">
        <v>34</v>
      </c>
      <c r="F331" t="s">
        <v>241</v>
      </c>
      <c r="G331" t="s">
        <v>361</v>
      </c>
      <c r="H331" t="s">
        <v>362</v>
      </c>
      <c r="I331" t="s">
        <v>360</v>
      </c>
      <c r="J331">
        <v>0</v>
      </c>
      <c r="K331">
        <v>61</v>
      </c>
      <c r="L331">
        <v>4358</v>
      </c>
      <c r="M331" t="str">
        <f t="shared" si="5"/>
        <v>Sea Port</v>
      </c>
      <c r="N331" t="str">
        <f>TEXT(DATE(EXPORT[[#This Row],[Year]], A331, 1), "mmmm")</f>
        <v>February</v>
      </c>
    </row>
    <row r="332" spans="1:14" x14ac:dyDescent="0.3">
      <c r="A332">
        <v>5</v>
      </c>
      <c r="B332">
        <v>2020</v>
      </c>
      <c r="C332" t="s">
        <v>12</v>
      </c>
      <c r="D332">
        <v>8</v>
      </c>
      <c r="E332" t="s">
        <v>372</v>
      </c>
      <c r="F332" t="s">
        <v>149</v>
      </c>
      <c r="G332" t="s">
        <v>366</v>
      </c>
      <c r="H332" t="s">
        <v>367</v>
      </c>
      <c r="I332" t="s">
        <v>360</v>
      </c>
      <c r="J332">
        <v>0</v>
      </c>
      <c r="K332">
        <v>2279</v>
      </c>
      <c r="L332">
        <v>172407</v>
      </c>
      <c r="M332" t="str">
        <f t="shared" si="5"/>
        <v>SEZ / Industrial Zone</v>
      </c>
      <c r="N332" t="str">
        <f>TEXT(DATE(EXPORT[[#This Row],[Year]], A332, 1), "mmmm")</f>
        <v>May</v>
      </c>
    </row>
    <row r="333" spans="1:14" x14ac:dyDescent="0.3">
      <c r="A333">
        <v>7</v>
      </c>
      <c r="B333">
        <v>2018</v>
      </c>
      <c r="C333" t="s">
        <v>58</v>
      </c>
      <c r="D333">
        <v>27</v>
      </c>
      <c r="E333" t="s">
        <v>125</v>
      </c>
      <c r="F333" t="s">
        <v>81</v>
      </c>
      <c r="G333" t="s">
        <v>366</v>
      </c>
      <c r="H333" t="s">
        <v>367</v>
      </c>
      <c r="I333" t="s">
        <v>360</v>
      </c>
      <c r="J333">
        <v>0</v>
      </c>
      <c r="K333">
        <v>130</v>
      </c>
      <c r="L333">
        <v>8944</v>
      </c>
      <c r="M333" t="str">
        <f t="shared" si="5"/>
        <v>Air Port</v>
      </c>
      <c r="N333" t="str">
        <f>TEXT(DATE(EXPORT[[#This Row],[Year]], A333, 1), "mmmm")</f>
        <v>July</v>
      </c>
    </row>
    <row r="334" spans="1:14" x14ac:dyDescent="0.3">
      <c r="A334">
        <v>4</v>
      </c>
      <c r="B334">
        <v>2022</v>
      </c>
      <c r="C334" t="s">
        <v>33</v>
      </c>
      <c r="D334">
        <v>32</v>
      </c>
      <c r="E334" t="s">
        <v>34</v>
      </c>
      <c r="F334" t="s">
        <v>105</v>
      </c>
      <c r="G334" t="s">
        <v>373</v>
      </c>
      <c r="H334" t="s">
        <v>374</v>
      </c>
      <c r="I334" t="s">
        <v>360</v>
      </c>
      <c r="J334">
        <v>0</v>
      </c>
      <c r="K334">
        <v>33</v>
      </c>
      <c r="L334">
        <v>2501</v>
      </c>
      <c r="M334" t="str">
        <f t="shared" si="5"/>
        <v>Sea Port</v>
      </c>
      <c r="N334" t="str">
        <f>TEXT(DATE(EXPORT[[#This Row],[Year]], A334, 1), "mmmm")</f>
        <v>April</v>
      </c>
    </row>
    <row r="335" spans="1:14" x14ac:dyDescent="0.3">
      <c r="A335">
        <v>8</v>
      </c>
      <c r="B335">
        <v>2023</v>
      </c>
      <c r="C335" t="s">
        <v>58</v>
      </c>
      <c r="D335">
        <v>27</v>
      </c>
      <c r="E335" t="s">
        <v>125</v>
      </c>
      <c r="F335" t="s">
        <v>611</v>
      </c>
      <c r="G335" t="s">
        <v>358</v>
      </c>
      <c r="H335" t="s">
        <v>359</v>
      </c>
      <c r="I335" t="s">
        <v>360</v>
      </c>
      <c r="J335">
        <v>0</v>
      </c>
      <c r="K335">
        <v>1996</v>
      </c>
      <c r="L335">
        <v>165222</v>
      </c>
      <c r="M335" t="str">
        <f t="shared" si="5"/>
        <v>Air Port</v>
      </c>
      <c r="N335" t="str">
        <f>TEXT(DATE(EXPORT[[#This Row],[Year]], A335, 1), "mmmm")</f>
        <v>August</v>
      </c>
    </row>
    <row r="336" spans="1:14" x14ac:dyDescent="0.3">
      <c r="A336">
        <v>7</v>
      </c>
      <c r="B336">
        <v>2018</v>
      </c>
      <c r="C336" t="s">
        <v>42</v>
      </c>
      <c r="D336">
        <v>33</v>
      </c>
      <c r="E336" t="s">
        <v>192</v>
      </c>
      <c r="F336" t="s">
        <v>90</v>
      </c>
      <c r="G336" t="s">
        <v>370</v>
      </c>
      <c r="H336" t="s">
        <v>371</v>
      </c>
      <c r="I336" t="s">
        <v>360</v>
      </c>
      <c r="J336">
        <v>0</v>
      </c>
      <c r="K336">
        <v>227</v>
      </c>
      <c r="L336">
        <v>15617</v>
      </c>
      <c r="M336" t="str">
        <f t="shared" si="5"/>
        <v>Other</v>
      </c>
      <c r="N336" t="str">
        <f>TEXT(DATE(EXPORT[[#This Row],[Year]], A336, 1), "mmmm")</f>
        <v>July</v>
      </c>
    </row>
    <row r="337" spans="1:14" x14ac:dyDescent="0.3">
      <c r="A337">
        <v>9</v>
      </c>
      <c r="B337">
        <v>2022</v>
      </c>
      <c r="C337" t="s">
        <v>58</v>
      </c>
      <c r="D337">
        <v>27</v>
      </c>
      <c r="E337" t="s">
        <v>125</v>
      </c>
      <c r="F337" t="s">
        <v>270</v>
      </c>
      <c r="G337" t="s">
        <v>370</v>
      </c>
      <c r="H337" t="s">
        <v>371</v>
      </c>
      <c r="I337" t="s">
        <v>360</v>
      </c>
      <c r="J337">
        <v>0</v>
      </c>
      <c r="K337">
        <v>2697</v>
      </c>
      <c r="L337">
        <v>216423</v>
      </c>
      <c r="M337" t="str">
        <f t="shared" si="5"/>
        <v>Air Port</v>
      </c>
      <c r="N337" t="str">
        <f>TEXT(DATE(EXPORT[[#This Row],[Year]], A337, 1), "mmmm")</f>
        <v>September</v>
      </c>
    </row>
    <row r="338" spans="1:14" x14ac:dyDescent="0.3">
      <c r="A338">
        <v>1</v>
      </c>
      <c r="B338">
        <v>2022</v>
      </c>
      <c r="C338" t="s">
        <v>47</v>
      </c>
      <c r="D338">
        <v>7</v>
      </c>
      <c r="E338" t="s">
        <v>48</v>
      </c>
      <c r="F338" t="s">
        <v>159</v>
      </c>
      <c r="G338" t="s">
        <v>375</v>
      </c>
      <c r="H338" t="s">
        <v>376</v>
      </c>
      <c r="I338" t="s">
        <v>365</v>
      </c>
      <c r="J338">
        <v>0</v>
      </c>
      <c r="K338">
        <v>34</v>
      </c>
      <c r="L338">
        <v>2523</v>
      </c>
      <c r="M338" t="str">
        <f t="shared" si="5"/>
        <v>Air Port</v>
      </c>
      <c r="N338" t="str">
        <f>TEXT(DATE(EXPORT[[#This Row],[Year]], A338, 1), "mmmm")</f>
        <v>January</v>
      </c>
    </row>
    <row r="339" spans="1:14" x14ac:dyDescent="0.3">
      <c r="A339">
        <v>1</v>
      </c>
      <c r="B339">
        <v>2018</v>
      </c>
      <c r="C339" t="s">
        <v>47</v>
      </c>
      <c r="D339">
        <v>7</v>
      </c>
      <c r="E339" t="s">
        <v>48</v>
      </c>
      <c r="F339" t="s">
        <v>377</v>
      </c>
      <c r="G339" t="s">
        <v>378</v>
      </c>
      <c r="H339" t="s">
        <v>379</v>
      </c>
      <c r="I339" t="s">
        <v>360</v>
      </c>
      <c r="J339">
        <v>0</v>
      </c>
      <c r="K339">
        <v>306</v>
      </c>
      <c r="L339">
        <v>19462</v>
      </c>
      <c r="M339" t="str">
        <f t="shared" si="5"/>
        <v>Air Port</v>
      </c>
      <c r="N339" t="str">
        <f>TEXT(DATE(EXPORT[[#This Row],[Year]], A339, 1), "mmmm")</f>
        <v>January</v>
      </c>
    </row>
    <row r="340" spans="1:14" x14ac:dyDescent="0.3">
      <c r="A340">
        <v>7</v>
      </c>
      <c r="B340">
        <v>2020</v>
      </c>
      <c r="C340" t="s">
        <v>23</v>
      </c>
      <c r="D340">
        <v>24</v>
      </c>
      <c r="E340" t="s">
        <v>38</v>
      </c>
      <c r="F340" t="s">
        <v>344</v>
      </c>
      <c r="G340" t="s">
        <v>370</v>
      </c>
      <c r="H340" t="s">
        <v>371</v>
      </c>
      <c r="I340" t="s">
        <v>360</v>
      </c>
      <c r="J340">
        <v>14</v>
      </c>
      <c r="K340">
        <v>28911</v>
      </c>
      <c r="L340">
        <v>2168168</v>
      </c>
      <c r="M340" t="str">
        <f t="shared" si="5"/>
        <v>ICD / Dry Port</v>
      </c>
      <c r="N340" t="str">
        <f>TEXT(DATE(EXPORT[[#This Row],[Year]], A340, 1), "mmmm")</f>
        <v>July</v>
      </c>
    </row>
    <row r="341" spans="1:14" x14ac:dyDescent="0.3">
      <c r="A341">
        <v>10</v>
      </c>
      <c r="B341">
        <v>2022</v>
      </c>
      <c r="C341" t="s">
        <v>58</v>
      </c>
      <c r="D341">
        <v>27</v>
      </c>
      <c r="E341" t="s">
        <v>59</v>
      </c>
      <c r="F341" t="s">
        <v>149</v>
      </c>
      <c r="G341" t="s">
        <v>358</v>
      </c>
      <c r="H341" t="s">
        <v>359</v>
      </c>
      <c r="I341" t="s">
        <v>360</v>
      </c>
      <c r="J341">
        <v>536</v>
      </c>
      <c r="K341">
        <v>527467</v>
      </c>
      <c r="L341">
        <v>43431715</v>
      </c>
      <c r="M341" t="str">
        <f t="shared" si="5"/>
        <v>Sea Port</v>
      </c>
      <c r="N341" t="str">
        <f>TEXT(DATE(EXPORT[[#This Row],[Year]], A341, 1), "mmmm")</f>
        <v>October</v>
      </c>
    </row>
    <row r="342" spans="1:14" x14ac:dyDescent="0.3">
      <c r="A342">
        <v>9</v>
      </c>
      <c r="B342">
        <v>2018</v>
      </c>
      <c r="C342" t="s">
        <v>23</v>
      </c>
      <c r="D342">
        <v>24</v>
      </c>
      <c r="E342" t="s">
        <v>235</v>
      </c>
      <c r="F342" t="s">
        <v>380</v>
      </c>
      <c r="G342" t="s">
        <v>366</v>
      </c>
      <c r="H342" t="s">
        <v>367</v>
      </c>
      <c r="I342" t="s">
        <v>360</v>
      </c>
      <c r="J342">
        <v>6</v>
      </c>
      <c r="K342">
        <v>13428</v>
      </c>
      <c r="L342">
        <v>969692</v>
      </c>
      <c r="M342" t="str">
        <f t="shared" si="5"/>
        <v>Sea Port</v>
      </c>
      <c r="N342" t="str">
        <f>TEXT(DATE(EXPORT[[#This Row],[Year]], A342, 1), "mmmm")</f>
        <v>September</v>
      </c>
    </row>
    <row r="343" spans="1:14" x14ac:dyDescent="0.3">
      <c r="A343">
        <v>5</v>
      </c>
      <c r="B343">
        <v>2021</v>
      </c>
      <c r="C343" t="s">
        <v>23</v>
      </c>
      <c r="D343">
        <v>24</v>
      </c>
      <c r="E343" t="s">
        <v>38</v>
      </c>
      <c r="F343" t="s">
        <v>145</v>
      </c>
      <c r="G343" t="s">
        <v>358</v>
      </c>
      <c r="H343" t="s">
        <v>359</v>
      </c>
      <c r="I343" t="s">
        <v>360</v>
      </c>
      <c r="J343">
        <v>21</v>
      </c>
      <c r="K343">
        <v>78027</v>
      </c>
      <c r="L343">
        <v>5716879</v>
      </c>
      <c r="M343" t="str">
        <f t="shared" si="5"/>
        <v>ICD / Dry Port</v>
      </c>
      <c r="N343" t="str">
        <f>TEXT(DATE(EXPORT[[#This Row],[Year]], A343, 1), "mmmm")</f>
        <v>May</v>
      </c>
    </row>
    <row r="344" spans="1:14" x14ac:dyDescent="0.3">
      <c r="A344">
        <v>6</v>
      </c>
      <c r="B344">
        <v>2020</v>
      </c>
      <c r="C344" t="s">
        <v>58</v>
      </c>
      <c r="D344">
        <v>27</v>
      </c>
      <c r="E344" t="s">
        <v>59</v>
      </c>
      <c r="F344" t="s">
        <v>149</v>
      </c>
      <c r="G344" t="s">
        <v>358</v>
      </c>
      <c r="H344" t="s">
        <v>359</v>
      </c>
      <c r="I344" t="s">
        <v>360</v>
      </c>
      <c r="J344">
        <v>734</v>
      </c>
      <c r="K344">
        <v>605202</v>
      </c>
      <c r="L344">
        <v>45829986</v>
      </c>
      <c r="M344" t="str">
        <f t="shared" si="5"/>
        <v>Sea Port</v>
      </c>
      <c r="N344" t="str">
        <f>TEXT(DATE(EXPORT[[#This Row],[Year]], A344, 1), "mmmm")</f>
        <v>June</v>
      </c>
    </row>
    <row r="345" spans="1:14" x14ac:dyDescent="0.3">
      <c r="A345">
        <v>11</v>
      </c>
      <c r="B345">
        <v>2018</v>
      </c>
      <c r="C345" t="s">
        <v>137</v>
      </c>
      <c r="D345">
        <v>36</v>
      </c>
      <c r="E345" t="s">
        <v>138</v>
      </c>
      <c r="F345" t="s">
        <v>190</v>
      </c>
      <c r="G345" t="s">
        <v>358</v>
      </c>
      <c r="H345" t="s">
        <v>359</v>
      </c>
      <c r="I345" t="s">
        <v>360</v>
      </c>
      <c r="J345">
        <v>1</v>
      </c>
      <c r="K345">
        <v>2163</v>
      </c>
      <c r="L345">
        <v>155422</v>
      </c>
      <c r="M345" t="str">
        <f t="shared" si="5"/>
        <v>ICD / Dry Port</v>
      </c>
      <c r="N345" t="str">
        <f>TEXT(DATE(EXPORT[[#This Row],[Year]], A345, 1), "mmmm")</f>
        <v>November</v>
      </c>
    </row>
    <row r="346" spans="1:14" x14ac:dyDescent="0.3">
      <c r="A346">
        <v>3</v>
      </c>
      <c r="B346">
        <v>2018</v>
      </c>
      <c r="C346" t="s">
        <v>132</v>
      </c>
      <c r="D346">
        <v>19</v>
      </c>
      <c r="E346" t="s">
        <v>381</v>
      </c>
      <c r="F346" t="s">
        <v>81</v>
      </c>
      <c r="G346" t="s">
        <v>382</v>
      </c>
      <c r="H346" t="s">
        <v>383</v>
      </c>
      <c r="I346" t="s">
        <v>360</v>
      </c>
      <c r="J346">
        <v>54532</v>
      </c>
      <c r="K346">
        <v>6645512</v>
      </c>
      <c r="L346">
        <v>432099809</v>
      </c>
      <c r="M346" t="str">
        <f t="shared" si="5"/>
        <v>Other</v>
      </c>
      <c r="N346" t="str">
        <f>TEXT(DATE(EXPORT[[#This Row],[Year]], A346, 1), "mmmm")</f>
        <v>March</v>
      </c>
    </row>
    <row r="347" spans="1:14" x14ac:dyDescent="0.3">
      <c r="A347">
        <v>3</v>
      </c>
      <c r="B347">
        <v>2019</v>
      </c>
      <c r="C347" t="s">
        <v>23</v>
      </c>
      <c r="D347">
        <v>24</v>
      </c>
      <c r="E347" t="s">
        <v>295</v>
      </c>
      <c r="F347" t="s">
        <v>159</v>
      </c>
      <c r="G347" t="s">
        <v>370</v>
      </c>
      <c r="H347" t="s">
        <v>371</v>
      </c>
      <c r="I347" t="s">
        <v>360</v>
      </c>
      <c r="J347">
        <v>2</v>
      </c>
      <c r="K347">
        <v>1670</v>
      </c>
      <c r="L347">
        <v>115995</v>
      </c>
      <c r="M347" t="str">
        <f t="shared" si="5"/>
        <v>ICD / Dry Port</v>
      </c>
      <c r="N347" t="str">
        <f>TEXT(DATE(EXPORT[[#This Row],[Year]], A347, 1), "mmmm")</f>
        <v>March</v>
      </c>
    </row>
    <row r="348" spans="1:14" x14ac:dyDescent="0.3">
      <c r="A348">
        <v>10</v>
      </c>
      <c r="B348">
        <v>2021</v>
      </c>
      <c r="C348" t="s">
        <v>28</v>
      </c>
      <c r="D348">
        <v>29</v>
      </c>
      <c r="E348" t="s">
        <v>236</v>
      </c>
      <c r="F348" t="s">
        <v>14</v>
      </c>
      <c r="G348" t="s">
        <v>358</v>
      </c>
      <c r="H348" t="s">
        <v>359</v>
      </c>
      <c r="I348" t="s">
        <v>360</v>
      </c>
      <c r="J348">
        <v>4</v>
      </c>
      <c r="K348">
        <v>38668</v>
      </c>
      <c r="L348">
        <v>2896795</v>
      </c>
      <c r="M348" t="str">
        <f t="shared" si="5"/>
        <v>ICD / Dry Port</v>
      </c>
      <c r="N348" t="str">
        <f>TEXT(DATE(EXPORT[[#This Row],[Year]], A348, 1), "mmmm")</f>
        <v>October</v>
      </c>
    </row>
    <row r="349" spans="1:14" x14ac:dyDescent="0.3">
      <c r="A349">
        <v>11</v>
      </c>
      <c r="B349">
        <v>2019</v>
      </c>
      <c r="C349" t="s">
        <v>137</v>
      </c>
      <c r="D349">
        <v>36</v>
      </c>
      <c r="E349" t="s">
        <v>384</v>
      </c>
      <c r="F349" t="s">
        <v>269</v>
      </c>
      <c r="G349" t="s">
        <v>385</v>
      </c>
      <c r="H349" t="s">
        <v>386</v>
      </c>
      <c r="I349" t="s">
        <v>360</v>
      </c>
      <c r="J349">
        <v>35</v>
      </c>
      <c r="K349">
        <v>31515</v>
      </c>
      <c r="L349">
        <v>2251799</v>
      </c>
      <c r="M349" t="str">
        <f t="shared" si="5"/>
        <v>ICD / Dry Port</v>
      </c>
      <c r="N349" t="str">
        <f>TEXT(DATE(EXPORT[[#This Row],[Year]], A349, 1), "mmmm")</f>
        <v>November</v>
      </c>
    </row>
    <row r="350" spans="1:14" x14ac:dyDescent="0.3">
      <c r="A350">
        <v>11</v>
      </c>
      <c r="B350">
        <v>2020</v>
      </c>
      <c r="C350" t="s">
        <v>58</v>
      </c>
      <c r="D350">
        <v>27</v>
      </c>
      <c r="E350" t="s">
        <v>387</v>
      </c>
      <c r="F350" t="s">
        <v>328</v>
      </c>
      <c r="G350" t="s">
        <v>366</v>
      </c>
      <c r="H350" t="s">
        <v>367</v>
      </c>
      <c r="I350" t="s">
        <v>360</v>
      </c>
      <c r="J350">
        <v>32</v>
      </c>
      <c r="K350">
        <v>33319</v>
      </c>
      <c r="L350">
        <v>2472954</v>
      </c>
      <c r="M350" t="str">
        <f t="shared" si="5"/>
        <v>ICD / Dry Port</v>
      </c>
      <c r="N350" t="str">
        <f>TEXT(DATE(EXPORT[[#This Row],[Year]], A350, 1), "mmmm")</f>
        <v>November</v>
      </c>
    </row>
    <row r="351" spans="1:14" x14ac:dyDescent="0.3">
      <c r="A351">
        <v>5</v>
      </c>
      <c r="B351">
        <v>2020</v>
      </c>
      <c r="C351" t="s">
        <v>58</v>
      </c>
      <c r="D351">
        <v>27</v>
      </c>
      <c r="E351" t="s">
        <v>59</v>
      </c>
      <c r="F351" t="s">
        <v>303</v>
      </c>
      <c r="G351" t="s">
        <v>388</v>
      </c>
      <c r="H351" t="s">
        <v>389</v>
      </c>
      <c r="I351" t="s">
        <v>390</v>
      </c>
      <c r="J351">
        <v>999</v>
      </c>
      <c r="K351">
        <v>15002</v>
      </c>
      <c r="L351">
        <v>1135083</v>
      </c>
      <c r="M351" t="str">
        <f t="shared" si="5"/>
        <v>Sea Port</v>
      </c>
      <c r="N351" t="str">
        <f>TEXT(DATE(EXPORT[[#This Row],[Year]], A351, 1), "mmmm")</f>
        <v>May</v>
      </c>
    </row>
    <row r="352" spans="1:14" x14ac:dyDescent="0.3">
      <c r="A352">
        <v>9</v>
      </c>
      <c r="B352">
        <v>2022</v>
      </c>
      <c r="C352" t="s">
        <v>58</v>
      </c>
      <c r="D352">
        <v>27</v>
      </c>
      <c r="E352" t="s">
        <v>59</v>
      </c>
      <c r="F352" t="s">
        <v>225</v>
      </c>
      <c r="G352" t="s">
        <v>391</v>
      </c>
      <c r="H352" t="s">
        <v>392</v>
      </c>
      <c r="I352" t="s">
        <v>393</v>
      </c>
      <c r="J352">
        <v>4</v>
      </c>
      <c r="K352">
        <v>7395</v>
      </c>
      <c r="L352">
        <v>593288</v>
      </c>
      <c r="M352" t="str">
        <f t="shared" si="5"/>
        <v>Sea Port</v>
      </c>
      <c r="N352" t="str">
        <f>TEXT(DATE(EXPORT[[#This Row],[Year]], A352, 1), "mmmm")</f>
        <v>September</v>
      </c>
    </row>
    <row r="353" spans="1:14" x14ac:dyDescent="0.3">
      <c r="A353">
        <v>6</v>
      </c>
      <c r="B353">
        <v>2020</v>
      </c>
      <c r="C353" t="s">
        <v>23</v>
      </c>
      <c r="D353">
        <v>24</v>
      </c>
      <c r="E353" t="s">
        <v>24</v>
      </c>
      <c r="F353" t="s">
        <v>171</v>
      </c>
      <c r="G353" t="s">
        <v>366</v>
      </c>
      <c r="H353" t="s">
        <v>367</v>
      </c>
      <c r="I353" t="s">
        <v>360</v>
      </c>
      <c r="J353">
        <v>18</v>
      </c>
      <c r="K353">
        <v>68341</v>
      </c>
      <c r="L353">
        <v>5175232</v>
      </c>
      <c r="M353" t="str">
        <f t="shared" si="5"/>
        <v>Other</v>
      </c>
      <c r="N353" t="str">
        <f>TEXT(DATE(EXPORT[[#This Row],[Year]], A353, 1), "mmmm")</f>
        <v>June</v>
      </c>
    </row>
    <row r="354" spans="1:14" x14ac:dyDescent="0.3">
      <c r="A354">
        <v>5</v>
      </c>
      <c r="B354">
        <v>2018</v>
      </c>
      <c r="C354" t="s">
        <v>58</v>
      </c>
      <c r="D354">
        <v>27</v>
      </c>
      <c r="E354" t="s">
        <v>216</v>
      </c>
      <c r="F354" t="s">
        <v>394</v>
      </c>
      <c r="G354" t="s">
        <v>395</v>
      </c>
      <c r="H354" t="s">
        <v>396</v>
      </c>
      <c r="I354" t="s">
        <v>393</v>
      </c>
      <c r="J354">
        <v>4</v>
      </c>
      <c r="K354">
        <v>22601</v>
      </c>
      <c r="L354">
        <v>1526460</v>
      </c>
      <c r="M354" t="str">
        <f t="shared" si="5"/>
        <v>Other</v>
      </c>
      <c r="N354" t="str">
        <f>TEXT(DATE(EXPORT[[#This Row],[Year]], A354, 1), "mmmm")</f>
        <v>May</v>
      </c>
    </row>
    <row r="355" spans="1:14" x14ac:dyDescent="0.3">
      <c r="A355">
        <v>9</v>
      </c>
      <c r="B355">
        <v>2021</v>
      </c>
      <c r="C355" t="s">
        <v>42</v>
      </c>
      <c r="D355">
        <v>33</v>
      </c>
      <c r="E355" t="s">
        <v>67</v>
      </c>
      <c r="F355" t="s">
        <v>175</v>
      </c>
      <c r="G355" t="s">
        <v>391</v>
      </c>
      <c r="H355" t="s">
        <v>392</v>
      </c>
      <c r="I355" t="s">
        <v>393</v>
      </c>
      <c r="J355">
        <v>460</v>
      </c>
      <c r="K355">
        <v>342769</v>
      </c>
      <c r="L355">
        <v>25215268</v>
      </c>
      <c r="M355" t="str">
        <f t="shared" si="5"/>
        <v>ICD / Dry Port</v>
      </c>
      <c r="N355" t="str">
        <f>TEXT(DATE(EXPORT[[#This Row],[Year]], A355, 1), "mmmm")</f>
        <v>September</v>
      </c>
    </row>
    <row r="356" spans="1:14" x14ac:dyDescent="0.3">
      <c r="A356">
        <v>10</v>
      </c>
      <c r="B356">
        <v>2022</v>
      </c>
      <c r="C356" t="s">
        <v>23</v>
      </c>
      <c r="D356">
        <v>24</v>
      </c>
      <c r="E356" t="s">
        <v>397</v>
      </c>
      <c r="F356" t="s">
        <v>115</v>
      </c>
      <c r="G356" t="s">
        <v>398</v>
      </c>
      <c r="H356" t="s">
        <v>399</v>
      </c>
      <c r="I356" t="s">
        <v>360</v>
      </c>
      <c r="J356">
        <v>16816</v>
      </c>
      <c r="K356">
        <v>16091344</v>
      </c>
      <c r="L356">
        <v>1324962866</v>
      </c>
      <c r="M356" t="str">
        <f t="shared" si="5"/>
        <v>Other</v>
      </c>
      <c r="N356" t="str">
        <f>TEXT(DATE(EXPORT[[#This Row],[Year]], A356, 1), "mmmm")</f>
        <v>October</v>
      </c>
    </row>
    <row r="357" spans="1:14" x14ac:dyDescent="0.3">
      <c r="A357">
        <v>4</v>
      </c>
      <c r="B357">
        <v>2021</v>
      </c>
      <c r="C357" t="s">
        <v>132</v>
      </c>
      <c r="D357">
        <v>19</v>
      </c>
      <c r="E357" t="s">
        <v>400</v>
      </c>
      <c r="F357" t="s">
        <v>126</v>
      </c>
      <c r="G357" t="s">
        <v>401</v>
      </c>
      <c r="H357" t="s">
        <v>402</v>
      </c>
      <c r="I357" t="s">
        <v>360</v>
      </c>
      <c r="J357">
        <v>2748</v>
      </c>
      <c r="K357">
        <v>1068847</v>
      </c>
      <c r="L357">
        <v>79599372</v>
      </c>
      <c r="M357" t="str">
        <f t="shared" si="5"/>
        <v>Other</v>
      </c>
      <c r="N357" t="str">
        <f>TEXT(DATE(EXPORT[[#This Row],[Year]], A357, 1), "mmmm")</f>
        <v>April</v>
      </c>
    </row>
    <row r="358" spans="1:14" x14ac:dyDescent="0.3">
      <c r="A358">
        <v>5</v>
      </c>
      <c r="B358">
        <v>2021</v>
      </c>
      <c r="C358" t="s">
        <v>42</v>
      </c>
      <c r="D358">
        <v>33</v>
      </c>
      <c r="E358" t="s">
        <v>223</v>
      </c>
      <c r="F358" t="s">
        <v>94</v>
      </c>
      <c r="G358" t="s">
        <v>391</v>
      </c>
      <c r="H358" t="s">
        <v>392</v>
      </c>
      <c r="I358" t="s">
        <v>393</v>
      </c>
      <c r="J358">
        <v>92</v>
      </c>
      <c r="K358">
        <v>81637</v>
      </c>
      <c r="L358">
        <v>5981334</v>
      </c>
      <c r="M358" t="str">
        <f t="shared" si="5"/>
        <v>Sea Port</v>
      </c>
      <c r="N358" t="str">
        <f>TEXT(DATE(EXPORT[[#This Row],[Year]], A358, 1), "mmmm")</f>
        <v>May</v>
      </c>
    </row>
    <row r="359" spans="1:14" x14ac:dyDescent="0.3">
      <c r="A359">
        <v>8</v>
      </c>
      <c r="B359">
        <v>2023</v>
      </c>
      <c r="C359" t="s">
        <v>79</v>
      </c>
      <c r="D359">
        <v>9</v>
      </c>
      <c r="E359" t="s">
        <v>351</v>
      </c>
      <c r="F359" t="s">
        <v>334</v>
      </c>
      <c r="G359" t="s">
        <v>403</v>
      </c>
      <c r="H359" t="s">
        <v>404</v>
      </c>
      <c r="I359" t="s">
        <v>360</v>
      </c>
      <c r="J359">
        <v>112</v>
      </c>
      <c r="K359">
        <v>350108</v>
      </c>
      <c r="L359">
        <v>28983842</v>
      </c>
      <c r="M359" t="str">
        <f t="shared" si="5"/>
        <v>ICD / Dry Port</v>
      </c>
      <c r="N359" t="str">
        <f>TEXT(DATE(EXPORT[[#This Row],[Year]], A359, 1), "mmmm")</f>
        <v>August</v>
      </c>
    </row>
    <row r="360" spans="1:14" x14ac:dyDescent="0.3">
      <c r="A360">
        <v>11</v>
      </c>
      <c r="B360">
        <v>2018</v>
      </c>
      <c r="C360" t="s">
        <v>275</v>
      </c>
      <c r="D360">
        <v>28</v>
      </c>
      <c r="E360" t="s">
        <v>405</v>
      </c>
      <c r="F360" t="s">
        <v>115</v>
      </c>
      <c r="G360" t="s">
        <v>358</v>
      </c>
      <c r="H360" t="s">
        <v>359</v>
      </c>
      <c r="I360" t="s">
        <v>360</v>
      </c>
      <c r="J360">
        <v>2800</v>
      </c>
      <c r="K360">
        <v>2940446</v>
      </c>
      <c r="L360">
        <v>211283418</v>
      </c>
      <c r="M360" t="str">
        <f t="shared" si="5"/>
        <v>SEZ / Industrial Zone</v>
      </c>
      <c r="N360" t="str">
        <f>TEXT(DATE(EXPORT[[#This Row],[Year]], A360, 1), "mmmm")</f>
        <v>November</v>
      </c>
    </row>
    <row r="361" spans="1:14" x14ac:dyDescent="0.3">
      <c r="A361">
        <v>3</v>
      </c>
      <c r="B361">
        <v>2023</v>
      </c>
      <c r="C361" t="s">
        <v>23</v>
      </c>
      <c r="D361">
        <v>24</v>
      </c>
      <c r="E361" t="s">
        <v>24</v>
      </c>
      <c r="F361" t="s">
        <v>303</v>
      </c>
      <c r="G361" t="s">
        <v>385</v>
      </c>
      <c r="H361" t="s">
        <v>386</v>
      </c>
      <c r="I361" t="s">
        <v>360</v>
      </c>
      <c r="J361">
        <v>3</v>
      </c>
      <c r="K361">
        <v>5212</v>
      </c>
      <c r="L361">
        <v>428889</v>
      </c>
      <c r="M361" t="str">
        <f t="shared" si="5"/>
        <v>Other</v>
      </c>
      <c r="N361" t="str">
        <f>TEXT(DATE(EXPORT[[#This Row],[Year]], A361, 1), "mmmm")</f>
        <v>March</v>
      </c>
    </row>
    <row r="362" spans="1:14" x14ac:dyDescent="0.3">
      <c r="A362">
        <v>2</v>
      </c>
      <c r="B362">
        <v>2018</v>
      </c>
      <c r="C362" t="s">
        <v>23</v>
      </c>
      <c r="D362">
        <v>24</v>
      </c>
      <c r="E362" t="s">
        <v>38</v>
      </c>
      <c r="F362" t="s">
        <v>215</v>
      </c>
      <c r="G362" t="s">
        <v>406</v>
      </c>
      <c r="H362" t="s">
        <v>407</v>
      </c>
      <c r="I362" t="s">
        <v>360</v>
      </c>
      <c r="J362">
        <v>1</v>
      </c>
      <c r="K362">
        <v>1922</v>
      </c>
      <c r="L362">
        <v>123715</v>
      </c>
      <c r="M362" t="str">
        <f t="shared" si="5"/>
        <v>ICD / Dry Port</v>
      </c>
      <c r="N362" t="str">
        <f>TEXT(DATE(EXPORT[[#This Row],[Year]], A362, 1), "mmmm")</f>
        <v>February</v>
      </c>
    </row>
    <row r="363" spans="1:14" x14ac:dyDescent="0.3">
      <c r="A363">
        <v>1</v>
      </c>
      <c r="B363">
        <v>2022</v>
      </c>
      <c r="C363" t="s">
        <v>58</v>
      </c>
      <c r="D363">
        <v>27</v>
      </c>
      <c r="E363" t="s">
        <v>290</v>
      </c>
      <c r="F363" t="s">
        <v>229</v>
      </c>
      <c r="G363" t="s">
        <v>378</v>
      </c>
      <c r="H363" t="s">
        <v>379</v>
      </c>
      <c r="I363" t="s">
        <v>360</v>
      </c>
      <c r="J363">
        <v>81</v>
      </c>
      <c r="K363">
        <v>192123</v>
      </c>
      <c r="L363">
        <v>14301925</v>
      </c>
      <c r="M363" t="str">
        <f t="shared" si="5"/>
        <v>SEZ / Industrial Zone</v>
      </c>
      <c r="N363" t="str">
        <f>TEXT(DATE(EXPORT[[#This Row],[Year]], A363, 1), "mmmm")</f>
        <v>January</v>
      </c>
    </row>
    <row r="364" spans="1:14" x14ac:dyDescent="0.3">
      <c r="A364">
        <v>6</v>
      </c>
      <c r="B364">
        <v>2018</v>
      </c>
      <c r="C364" t="s">
        <v>137</v>
      </c>
      <c r="D364">
        <v>36</v>
      </c>
      <c r="E364" t="s">
        <v>138</v>
      </c>
      <c r="F364" t="s">
        <v>243</v>
      </c>
      <c r="G364" t="s">
        <v>385</v>
      </c>
      <c r="H364" t="s">
        <v>386</v>
      </c>
      <c r="I364" t="s">
        <v>360</v>
      </c>
      <c r="J364">
        <v>21</v>
      </c>
      <c r="K364">
        <v>23926</v>
      </c>
      <c r="L364">
        <v>1622003</v>
      </c>
      <c r="M364" t="str">
        <f t="shared" si="5"/>
        <v>ICD / Dry Port</v>
      </c>
      <c r="N364" t="str">
        <f>TEXT(DATE(EXPORT[[#This Row],[Year]], A364, 1), "mmmm")</f>
        <v>June</v>
      </c>
    </row>
    <row r="365" spans="1:14" x14ac:dyDescent="0.3">
      <c r="A365">
        <v>11</v>
      </c>
      <c r="B365">
        <v>2022</v>
      </c>
      <c r="C365" t="s">
        <v>42</v>
      </c>
      <c r="D365">
        <v>33</v>
      </c>
      <c r="E365" t="s">
        <v>264</v>
      </c>
      <c r="F365" t="s">
        <v>153</v>
      </c>
      <c r="G365" t="s">
        <v>370</v>
      </c>
      <c r="H365" t="s">
        <v>371</v>
      </c>
      <c r="I365" t="s">
        <v>360</v>
      </c>
      <c r="J365">
        <v>9</v>
      </c>
      <c r="K365">
        <v>49808</v>
      </c>
      <c r="L365">
        <v>4074842</v>
      </c>
      <c r="M365" t="str">
        <f t="shared" si="5"/>
        <v>SEZ / Industrial Zone</v>
      </c>
      <c r="N365" t="str">
        <f>TEXT(DATE(EXPORT[[#This Row],[Year]], A365, 1), "mmmm")</f>
        <v>November</v>
      </c>
    </row>
    <row r="366" spans="1:14" x14ac:dyDescent="0.3">
      <c r="A366">
        <v>5</v>
      </c>
      <c r="B366">
        <v>2022</v>
      </c>
      <c r="C366" t="s">
        <v>47</v>
      </c>
      <c r="D366">
        <v>7</v>
      </c>
      <c r="E366" t="s">
        <v>51</v>
      </c>
      <c r="F366" t="s">
        <v>98</v>
      </c>
      <c r="G366" t="s">
        <v>408</v>
      </c>
      <c r="H366" t="s">
        <v>409</v>
      </c>
      <c r="I366" t="s">
        <v>410</v>
      </c>
      <c r="J366">
        <v>1035</v>
      </c>
      <c r="K366">
        <v>3842</v>
      </c>
      <c r="L366">
        <v>297096</v>
      </c>
      <c r="M366" t="str">
        <f t="shared" si="5"/>
        <v>ICD / Dry Port</v>
      </c>
      <c r="N366" t="str">
        <f>TEXT(DATE(EXPORT[[#This Row],[Year]], A366, 1), "mmmm")</f>
        <v>May</v>
      </c>
    </row>
    <row r="367" spans="1:14" x14ac:dyDescent="0.3">
      <c r="A367">
        <v>1</v>
      </c>
      <c r="B367">
        <v>2022</v>
      </c>
      <c r="C367" t="s">
        <v>12</v>
      </c>
      <c r="D367">
        <v>8</v>
      </c>
      <c r="E367" t="s">
        <v>411</v>
      </c>
      <c r="F367" t="s">
        <v>35</v>
      </c>
      <c r="G367" t="s">
        <v>366</v>
      </c>
      <c r="H367" t="s">
        <v>367</v>
      </c>
      <c r="I367" t="s">
        <v>360</v>
      </c>
      <c r="J367">
        <v>291</v>
      </c>
      <c r="K367">
        <v>912775</v>
      </c>
      <c r="L367">
        <v>67948427</v>
      </c>
      <c r="M367" t="str">
        <f t="shared" si="5"/>
        <v>ICD / Dry Port</v>
      </c>
      <c r="N367" t="str">
        <f>TEXT(DATE(EXPORT[[#This Row],[Year]], A367, 1), "mmmm")</f>
        <v>January</v>
      </c>
    </row>
    <row r="368" spans="1:14" x14ac:dyDescent="0.3">
      <c r="A368">
        <v>2</v>
      </c>
      <c r="B368">
        <v>2022</v>
      </c>
      <c r="C368" t="s">
        <v>42</v>
      </c>
      <c r="D368">
        <v>33</v>
      </c>
      <c r="E368" t="s">
        <v>43</v>
      </c>
      <c r="F368" t="s">
        <v>355</v>
      </c>
      <c r="G368" t="s">
        <v>395</v>
      </c>
      <c r="H368" t="s">
        <v>396</v>
      </c>
      <c r="I368" t="s">
        <v>393</v>
      </c>
      <c r="J368">
        <v>1</v>
      </c>
      <c r="K368">
        <v>12606</v>
      </c>
      <c r="L368">
        <v>945470</v>
      </c>
      <c r="M368" t="str">
        <f t="shared" si="5"/>
        <v>Sea Port</v>
      </c>
      <c r="N368" t="str">
        <f>TEXT(DATE(EXPORT[[#This Row],[Year]], A368, 1), "mmmm")</f>
        <v>February</v>
      </c>
    </row>
    <row r="369" spans="1:14" x14ac:dyDescent="0.3">
      <c r="A369">
        <v>5</v>
      </c>
      <c r="B369">
        <v>2020</v>
      </c>
      <c r="C369" t="s">
        <v>18</v>
      </c>
      <c r="D369">
        <v>6</v>
      </c>
      <c r="E369" t="s">
        <v>233</v>
      </c>
      <c r="F369" t="s">
        <v>98</v>
      </c>
      <c r="G369" t="s">
        <v>103</v>
      </c>
      <c r="H369" t="s">
        <v>104</v>
      </c>
      <c r="I369" t="s">
        <v>393</v>
      </c>
      <c r="J369">
        <v>1450</v>
      </c>
      <c r="K369">
        <v>2700</v>
      </c>
      <c r="L369">
        <v>204299</v>
      </c>
      <c r="M369" t="str">
        <f t="shared" si="5"/>
        <v>ICD / Dry Port</v>
      </c>
      <c r="N369" t="str">
        <f>TEXT(DATE(EXPORT[[#This Row],[Year]], A369, 1), "mmmm")</f>
        <v>May</v>
      </c>
    </row>
    <row r="370" spans="1:14" x14ac:dyDescent="0.3">
      <c r="A370">
        <v>3</v>
      </c>
      <c r="B370">
        <v>2020</v>
      </c>
      <c r="C370" t="s">
        <v>28</v>
      </c>
      <c r="D370">
        <v>29</v>
      </c>
      <c r="E370" t="s">
        <v>236</v>
      </c>
      <c r="F370" t="s">
        <v>35</v>
      </c>
      <c r="G370" t="s">
        <v>358</v>
      </c>
      <c r="H370" t="s">
        <v>359</v>
      </c>
      <c r="I370" t="s">
        <v>360</v>
      </c>
      <c r="J370">
        <v>1</v>
      </c>
      <c r="K370">
        <v>2323</v>
      </c>
      <c r="L370">
        <v>172683</v>
      </c>
      <c r="M370" t="str">
        <f t="shared" si="5"/>
        <v>ICD / Dry Port</v>
      </c>
      <c r="N370" t="str">
        <f>TEXT(DATE(EXPORT[[#This Row],[Year]], A370, 1), "mmmm")</f>
        <v>March</v>
      </c>
    </row>
    <row r="371" spans="1:14" x14ac:dyDescent="0.3">
      <c r="A371">
        <v>8</v>
      </c>
      <c r="B371">
        <v>2018</v>
      </c>
      <c r="C371" t="s">
        <v>132</v>
      </c>
      <c r="D371">
        <v>19</v>
      </c>
      <c r="E371" t="s">
        <v>133</v>
      </c>
      <c r="F371" t="s">
        <v>190</v>
      </c>
      <c r="G371" t="s">
        <v>361</v>
      </c>
      <c r="H371" t="s">
        <v>362</v>
      </c>
      <c r="I371" t="s">
        <v>360</v>
      </c>
      <c r="J371">
        <v>2</v>
      </c>
      <c r="K371">
        <v>2918</v>
      </c>
      <c r="L371">
        <v>202962</v>
      </c>
      <c r="M371" t="str">
        <f t="shared" si="5"/>
        <v>Air Port</v>
      </c>
      <c r="N371" t="str">
        <f>TEXT(DATE(EXPORT[[#This Row],[Year]], A371, 1), "mmmm")</f>
        <v>August</v>
      </c>
    </row>
    <row r="372" spans="1:14" x14ac:dyDescent="0.3">
      <c r="A372">
        <v>1</v>
      </c>
      <c r="B372">
        <v>2023</v>
      </c>
      <c r="C372" t="s">
        <v>132</v>
      </c>
      <c r="D372">
        <v>19</v>
      </c>
      <c r="E372" t="s">
        <v>209</v>
      </c>
      <c r="F372" t="s">
        <v>412</v>
      </c>
      <c r="G372" t="s">
        <v>401</v>
      </c>
      <c r="H372" t="s">
        <v>402</v>
      </c>
      <c r="I372" t="s">
        <v>360</v>
      </c>
      <c r="J372">
        <v>106</v>
      </c>
      <c r="K372">
        <v>46483</v>
      </c>
      <c r="L372">
        <v>3806905</v>
      </c>
      <c r="M372" t="str">
        <f t="shared" si="5"/>
        <v>Sea Port</v>
      </c>
      <c r="N372" t="str">
        <f>TEXT(DATE(EXPORT[[#This Row],[Year]], A372, 1), "mmmm")</f>
        <v>January</v>
      </c>
    </row>
    <row r="373" spans="1:14" x14ac:dyDescent="0.3">
      <c r="A373">
        <v>1</v>
      </c>
      <c r="B373">
        <v>2020</v>
      </c>
      <c r="C373" t="s">
        <v>413</v>
      </c>
      <c r="D373">
        <v>10</v>
      </c>
      <c r="E373" t="s">
        <v>414</v>
      </c>
      <c r="F373" t="s">
        <v>81</v>
      </c>
      <c r="G373" t="s">
        <v>415</v>
      </c>
      <c r="H373" t="s">
        <v>416</v>
      </c>
      <c r="I373" t="s">
        <v>360</v>
      </c>
      <c r="J373">
        <v>1134</v>
      </c>
      <c r="K373">
        <v>231217</v>
      </c>
      <c r="L373">
        <v>16488990</v>
      </c>
      <c r="M373" t="str">
        <f t="shared" si="5"/>
        <v>Other</v>
      </c>
      <c r="N373" t="str">
        <f>TEXT(DATE(EXPORT[[#This Row],[Year]], A373, 1), "mmmm")</f>
        <v>January</v>
      </c>
    </row>
    <row r="374" spans="1:14" x14ac:dyDescent="0.3">
      <c r="A374">
        <v>11</v>
      </c>
      <c r="B374">
        <v>2022</v>
      </c>
      <c r="C374" t="s">
        <v>58</v>
      </c>
      <c r="D374">
        <v>27</v>
      </c>
      <c r="E374" t="s">
        <v>387</v>
      </c>
      <c r="F374" t="s">
        <v>35</v>
      </c>
      <c r="G374" t="s">
        <v>408</v>
      </c>
      <c r="H374" t="s">
        <v>409</v>
      </c>
      <c r="I374" t="s">
        <v>410</v>
      </c>
      <c r="J374">
        <v>123820</v>
      </c>
      <c r="K374">
        <v>137977</v>
      </c>
      <c r="L374">
        <v>11287994</v>
      </c>
      <c r="M374" t="str">
        <f t="shared" si="5"/>
        <v>ICD / Dry Port</v>
      </c>
      <c r="N374" t="str">
        <f>TEXT(DATE(EXPORT[[#This Row],[Year]], A374, 1), "mmmm")</f>
        <v>November</v>
      </c>
    </row>
    <row r="375" spans="1:14" x14ac:dyDescent="0.3">
      <c r="A375">
        <v>12</v>
      </c>
      <c r="B375">
        <v>2020</v>
      </c>
      <c r="C375" t="s">
        <v>58</v>
      </c>
      <c r="D375">
        <v>27</v>
      </c>
      <c r="E375" t="s">
        <v>59</v>
      </c>
      <c r="F375" t="s">
        <v>417</v>
      </c>
      <c r="G375" t="s">
        <v>358</v>
      </c>
      <c r="H375" t="s">
        <v>359</v>
      </c>
      <c r="I375" t="s">
        <v>360</v>
      </c>
      <c r="J375">
        <v>7</v>
      </c>
      <c r="K375">
        <v>9266</v>
      </c>
      <c r="L375">
        <v>681924</v>
      </c>
      <c r="M375" t="str">
        <f t="shared" si="5"/>
        <v>Sea Port</v>
      </c>
      <c r="N375" t="str">
        <f>TEXT(DATE(EXPORT[[#This Row],[Year]], A375, 1), "mmmm")</f>
        <v>December</v>
      </c>
    </row>
    <row r="376" spans="1:14" x14ac:dyDescent="0.3">
      <c r="A376">
        <v>6</v>
      </c>
      <c r="B376">
        <v>2021</v>
      </c>
      <c r="C376" t="s">
        <v>132</v>
      </c>
      <c r="D376">
        <v>19</v>
      </c>
      <c r="E376" t="s">
        <v>209</v>
      </c>
      <c r="F376" t="s">
        <v>120</v>
      </c>
      <c r="G376" t="s">
        <v>401</v>
      </c>
      <c r="H376" t="s">
        <v>402</v>
      </c>
      <c r="I376" t="s">
        <v>360</v>
      </c>
      <c r="J376">
        <v>500</v>
      </c>
      <c r="K376">
        <v>183813</v>
      </c>
      <c r="L376">
        <v>13520960</v>
      </c>
      <c r="M376" t="str">
        <f t="shared" si="5"/>
        <v>Sea Port</v>
      </c>
      <c r="N376" t="str">
        <f>TEXT(DATE(EXPORT[[#This Row],[Year]], A376, 1), "mmmm")</f>
        <v>June</v>
      </c>
    </row>
    <row r="377" spans="1:14" x14ac:dyDescent="0.3">
      <c r="A377">
        <v>8</v>
      </c>
      <c r="B377">
        <v>2019</v>
      </c>
      <c r="C377" t="s">
        <v>58</v>
      </c>
      <c r="D377">
        <v>27</v>
      </c>
      <c r="E377" t="s">
        <v>59</v>
      </c>
      <c r="F377" t="s">
        <v>294</v>
      </c>
      <c r="G377" t="s">
        <v>103</v>
      </c>
      <c r="H377" t="s">
        <v>104</v>
      </c>
      <c r="I377" t="s">
        <v>393</v>
      </c>
      <c r="J377">
        <v>1874</v>
      </c>
      <c r="K377">
        <v>331638</v>
      </c>
      <c r="L377">
        <v>23594615</v>
      </c>
      <c r="M377" t="str">
        <f t="shared" si="5"/>
        <v>Sea Port</v>
      </c>
      <c r="N377" t="str">
        <f>TEXT(DATE(EXPORT[[#This Row],[Year]], A377, 1), "mmmm")</f>
        <v>August</v>
      </c>
    </row>
    <row r="378" spans="1:14" x14ac:dyDescent="0.3">
      <c r="A378">
        <v>7</v>
      </c>
      <c r="B378">
        <v>2023</v>
      </c>
      <c r="C378" t="s">
        <v>23</v>
      </c>
      <c r="D378">
        <v>24</v>
      </c>
      <c r="E378" t="s">
        <v>24</v>
      </c>
      <c r="F378" t="s">
        <v>20</v>
      </c>
      <c r="G378" t="s">
        <v>418</v>
      </c>
      <c r="H378" t="s">
        <v>419</v>
      </c>
      <c r="I378" t="s">
        <v>360</v>
      </c>
      <c r="J378">
        <v>96</v>
      </c>
      <c r="K378">
        <v>20774</v>
      </c>
      <c r="L378">
        <v>1706651</v>
      </c>
      <c r="M378" t="str">
        <f t="shared" si="5"/>
        <v>Other</v>
      </c>
      <c r="N378" t="str">
        <f>TEXT(DATE(EXPORT[[#This Row],[Year]], A378, 1), "mmmm")</f>
        <v>July</v>
      </c>
    </row>
    <row r="379" spans="1:14" x14ac:dyDescent="0.3">
      <c r="A379">
        <v>8</v>
      </c>
      <c r="B379">
        <v>2018</v>
      </c>
      <c r="C379" t="s">
        <v>23</v>
      </c>
      <c r="D379">
        <v>24</v>
      </c>
      <c r="E379" t="s">
        <v>24</v>
      </c>
      <c r="F379" t="s">
        <v>153</v>
      </c>
      <c r="G379" t="s">
        <v>378</v>
      </c>
      <c r="H379" t="s">
        <v>379</v>
      </c>
      <c r="I379" t="s">
        <v>360</v>
      </c>
      <c r="J379">
        <v>358</v>
      </c>
      <c r="K379">
        <v>1201588</v>
      </c>
      <c r="L379">
        <v>83566267</v>
      </c>
      <c r="M379" t="str">
        <f t="shared" si="5"/>
        <v>Other</v>
      </c>
      <c r="N379" t="str">
        <f>TEXT(DATE(EXPORT[[#This Row],[Year]], A379, 1), "mmmm")</f>
        <v>August</v>
      </c>
    </row>
    <row r="380" spans="1:14" x14ac:dyDescent="0.3">
      <c r="A380">
        <v>8</v>
      </c>
      <c r="B380">
        <v>2022</v>
      </c>
      <c r="C380" t="s">
        <v>23</v>
      </c>
      <c r="D380">
        <v>24</v>
      </c>
      <c r="E380" t="s">
        <v>420</v>
      </c>
      <c r="F380" t="s">
        <v>68</v>
      </c>
      <c r="G380" t="s">
        <v>421</v>
      </c>
      <c r="H380" t="s">
        <v>422</v>
      </c>
      <c r="I380" t="s">
        <v>360</v>
      </c>
      <c r="J380">
        <v>2964</v>
      </c>
      <c r="K380">
        <v>2867197</v>
      </c>
      <c r="L380">
        <v>228099891</v>
      </c>
      <c r="M380" t="str">
        <f t="shared" si="5"/>
        <v>SEZ / Industrial Zone</v>
      </c>
      <c r="N380" t="str">
        <f>TEXT(DATE(EXPORT[[#This Row],[Year]], A380, 1), "mmmm")</f>
        <v>August</v>
      </c>
    </row>
    <row r="381" spans="1:14" x14ac:dyDescent="0.3">
      <c r="A381">
        <v>9</v>
      </c>
      <c r="B381">
        <v>2021</v>
      </c>
      <c r="C381" t="s">
        <v>18</v>
      </c>
      <c r="D381">
        <v>6</v>
      </c>
      <c r="E381" t="s">
        <v>19</v>
      </c>
      <c r="F381" t="s">
        <v>180</v>
      </c>
      <c r="G381" t="s">
        <v>391</v>
      </c>
      <c r="H381" t="s">
        <v>392</v>
      </c>
      <c r="I381" t="s">
        <v>393</v>
      </c>
      <c r="J381">
        <v>5633</v>
      </c>
      <c r="K381">
        <v>4203218</v>
      </c>
      <c r="L381">
        <v>309202976</v>
      </c>
      <c r="M381" t="str">
        <f t="shared" si="5"/>
        <v>ICD / Dry Port</v>
      </c>
      <c r="N381" t="str">
        <f>TEXT(DATE(EXPORT[[#This Row],[Year]], A381, 1), "mmmm")</f>
        <v>September</v>
      </c>
    </row>
    <row r="382" spans="1:14" x14ac:dyDescent="0.3">
      <c r="A382">
        <v>6</v>
      </c>
      <c r="B382">
        <v>2020</v>
      </c>
      <c r="C382" t="s">
        <v>42</v>
      </c>
      <c r="D382">
        <v>33</v>
      </c>
      <c r="E382" t="s">
        <v>423</v>
      </c>
      <c r="F382" t="s">
        <v>76</v>
      </c>
      <c r="G382" t="s">
        <v>424</v>
      </c>
      <c r="H382" t="s">
        <v>425</v>
      </c>
      <c r="I382" t="s">
        <v>360</v>
      </c>
      <c r="J382">
        <v>270</v>
      </c>
      <c r="K382">
        <v>93614</v>
      </c>
      <c r="L382">
        <v>7089103</v>
      </c>
      <c r="M382" t="str">
        <f t="shared" si="5"/>
        <v>Other</v>
      </c>
      <c r="N382" t="str">
        <f>TEXT(DATE(EXPORT[[#This Row],[Year]], A382, 1), "mmmm")</f>
        <v>June</v>
      </c>
    </row>
    <row r="383" spans="1:14" x14ac:dyDescent="0.3">
      <c r="A383">
        <v>2</v>
      </c>
      <c r="B383">
        <v>2022</v>
      </c>
      <c r="C383" t="s">
        <v>12</v>
      </c>
      <c r="D383">
        <v>8</v>
      </c>
      <c r="E383" t="s">
        <v>326</v>
      </c>
      <c r="F383" t="s">
        <v>320</v>
      </c>
      <c r="G383" t="s">
        <v>370</v>
      </c>
      <c r="H383" t="s">
        <v>371</v>
      </c>
      <c r="I383" t="s">
        <v>360</v>
      </c>
      <c r="J383">
        <v>1</v>
      </c>
      <c r="K383">
        <v>7769</v>
      </c>
      <c r="L383">
        <v>582669</v>
      </c>
      <c r="M383" t="str">
        <f t="shared" si="5"/>
        <v>ICD / Dry Port</v>
      </c>
      <c r="N383" t="str">
        <f>TEXT(DATE(EXPORT[[#This Row],[Year]], A383, 1), "mmmm")</f>
        <v>February</v>
      </c>
    </row>
    <row r="384" spans="1:14" x14ac:dyDescent="0.3">
      <c r="A384">
        <v>9</v>
      </c>
      <c r="B384">
        <v>2021</v>
      </c>
      <c r="C384" t="s">
        <v>18</v>
      </c>
      <c r="D384">
        <v>6</v>
      </c>
      <c r="E384" t="s">
        <v>97</v>
      </c>
      <c r="F384" t="s">
        <v>220</v>
      </c>
      <c r="G384" t="s">
        <v>378</v>
      </c>
      <c r="H384" t="s">
        <v>379</v>
      </c>
      <c r="I384" t="s">
        <v>360</v>
      </c>
      <c r="J384">
        <v>17</v>
      </c>
      <c r="K384">
        <v>45512</v>
      </c>
      <c r="L384">
        <v>3348000</v>
      </c>
      <c r="M384" t="str">
        <f t="shared" si="5"/>
        <v>ICD / Dry Port</v>
      </c>
      <c r="N384" t="str">
        <f>TEXT(DATE(EXPORT[[#This Row],[Year]], A384, 1), "mmmm")</f>
        <v>September</v>
      </c>
    </row>
    <row r="385" spans="1:14" x14ac:dyDescent="0.3">
      <c r="A385">
        <v>6</v>
      </c>
      <c r="B385">
        <v>2023</v>
      </c>
      <c r="C385" t="s">
        <v>42</v>
      </c>
      <c r="D385">
        <v>33</v>
      </c>
      <c r="E385" t="s">
        <v>176</v>
      </c>
      <c r="F385" t="s">
        <v>177</v>
      </c>
      <c r="G385" t="s">
        <v>424</v>
      </c>
      <c r="H385" t="s">
        <v>425</v>
      </c>
      <c r="I385" t="s">
        <v>360</v>
      </c>
      <c r="J385">
        <v>1</v>
      </c>
      <c r="K385">
        <v>1030</v>
      </c>
      <c r="L385">
        <v>84681</v>
      </c>
      <c r="M385" t="str">
        <f t="shared" si="5"/>
        <v>Sea Port</v>
      </c>
      <c r="N385" t="str">
        <f>TEXT(DATE(EXPORT[[#This Row],[Year]], A385, 1), "mmmm")</f>
        <v>June</v>
      </c>
    </row>
    <row r="386" spans="1:14" x14ac:dyDescent="0.3">
      <c r="A386">
        <v>8</v>
      </c>
      <c r="B386">
        <v>2023</v>
      </c>
      <c r="C386" t="s">
        <v>42</v>
      </c>
      <c r="D386">
        <v>33</v>
      </c>
      <c r="E386" t="s">
        <v>223</v>
      </c>
      <c r="F386" t="s">
        <v>44</v>
      </c>
      <c r="G386" t="s">
        <v>358</v>
      </c>
      <c r="H386" t="s">
        <v>359</v>
      </c>
      <c r="I386" t="s">
        <v>360</v>
      </c>
      <c r="J386">
        <v>54</v>
      </c>
      <c r="K386">
        <v>114621</v>
      </c>
      <c r="L386">
        <v>9488934</v>
      </c>
      <c r="M386" t="str">
        <f t="shared" ref="M386:M449" si="6">IF(OR(ISNUMBER(SEARCH("ICD",E386)),ISNUMBER(SEARCH("Dry Port",E386))),"ICD / Dry Port", IF(OR(ISNUMBER(SEARCH("Sea",E386)),ISNUMBER(SEARCH("Port",E386))),"Sea Port", IF(OR(ISNUMBER(SEARCH("Air",E386)),ISNUMBER(SEARCH("Airport",E386))),"Air Port", IF(ISNUMBER(SEARCH("CFS",E386)),"CFS", IF(OR(ISNUMBER(SEARCH("SEZ",E386)),ISNUMBER(SEARCH("EPZ",E386)),ISNUMBER(SEARCH("FTWZ",E386)),ISNUMBER(SEARCH("City",E386)),ISNUMBER(SEARCH("Park",E386))),"SEZ / Industrial Zone", IF(OR(ISNUMBER(SEARCH("Land",E386)),ISNUMBER(SEARCH("LCS",E386)),ISNUMBER(SEARCH("Rly",E386))),"Land Port", "Other"))))))</f>
        <v>Sea Port</v>
      </c>
      <c r="N386" t="str">
        <f>TEXT(DATE(EXPORT[[#This Row],[Year]], A386, 1), "mmmm")</f>
        <v>August</v>
      </c>
    </row>
    <row r="387" spans="1:14" x14ac:dyDescent="0.3">
      <c r="A387">
        <v>3</v>
      </c>
      <c r="B387">
        <v>2020</v>
      </c>
      <c r="C387" t="s">
        <v>12</v>
      </c>
      <c r="D387">
        <v>8</v>
      </c>
      <c r="E387" t="s">
        <v>426</v>
      </c>
      <c r="F387" t="s">
        <v>105</v>
      </c>
      <c r="G387" t="s">
        <v>361</v>
      </c>
      <c r="H387" t="s">
        <v>362</v>
      </c>
      <c r="I387" t="s">
        <v>360</v>
      </c>
      <c r="J387">
        <v>12</v>
      </c>
      <c r="K387">
        <v>7144</v>
      </c>
      <c r="L387">
        <v>531133</v>
      </c>
      <c r="M387" t="str">
        <f t="shared" si="6"/>
        <v>Other</v>
      </c>
      <c r="N387" t="str">
        <f>TEXT(DATE(EXPORT[[#This Row],[Year]], A387, 1), "mmmm")</f>
        <v>March</v>
      </c>
    </row>
    <row r="388" spans="1:14" x14ac:dyDescent="0.3">
      <c r="A388">
        <v>4</v>
      </c>
      <c r="B388">
        <v>2021</v>
      </c>
      <c r="C388" t="s">
        <v>58</v>
      </c>
      <c r="D388">
        <v>27</v>
      </c>
      <c r="E388" t="s">
        <v>59</v>
      </c>
      <c r="F388" t="s">
        <v>156</v>
      </c>
      <c r="G388" t="s">
        <v>385</v>
      </c>
      <c r="H388" t="s">
        <v>386</v>
      </c>
      <c r="I388" t="s">
        <v>360</v>
      </c>
      <c r="J388">
        <v>1</v>
      </c>
      <c r="K388">
        <v>1221</v>
      </c>
      <c r="L388">
        <v>90928</v>
      </c>
      <c r="M388" t="str">
        <f t="shared" si="6"/>
        <v>Sea Port</v>
      </c>
      <c r="N388" t="str">
        <f>TEXT(DATE(EXPORT[[#This Row],[Year]], A388, 1), "mmmm")</f>
        <v>April</v>
      </c>
    </row>
    <row r="389" spans="1:14" x14ac:dyDescent="0.3">
      <c r="A389">
        <v>12</v>
      </c>
      <c r="B389">
        <v>2022</v>
      </c>
      <c r="C389" t="s">
        <v>73</v>
      </c>
      <c r="D389">
        <v>3</v>
      </c>
      <c r="E389" t="s">
        <v>181</v>
      </c>
      <c r="F389" t="s">
        <v>184</v>
      </c>
      <c r="G389" t="s">
        <v>370</v>
      </c>
      <c r="H389" t="s">
        <v>371</v>
      </c>
      <c r="I389" t="s">
        <v>360</v>
      </c>
      <c r="J389">
        <v>5</v>
      </c>
      <c r="K389">
        <v>44948</v>
      </c>
      <c r="L389">
        <v>3706562</v>
      </c>
      <c r="M389" t="str">
        <f t="shared" si="6"/>
        <v>ICD / Dry Port</v>
      </c>
      <c r="N389" t="str">
        <f>TEXT(DATE(EXPORT[[#This Row],[Year]], A389, 1), "mmmm")</f>
        <v>December</v>
      </c>
    </row>
    <row r="390" spans="1:14" x14ac:dyDescent="0.3">
      <c r="A390">
        <v>9</v>
      </c>
      <c r="B390">
        <v>2021</v>
      </c>
      <c r="C390" t="s">
        <v>58</v>
      </c>
      <c r="D390">
        <v>27</v>
      </c>
      <c r="E390" t="s">
        <v>59</v>
      </c>
      <c r="F390" t="s">
        <v>277</v>
      </c>
      <c r="G390" t="s">
        <v>427</v>
      </c>
      <c r="H390" t="s">
        <v>428</v>
      </c>
      <c r="I390" t="s">
        <v>360</v>
      </c>
      <c r="J390">
        <v>240</v>
      </c>
      <c r="K390">
        <v>318584</v>
      </c>
      <c r="L390">
        <v>23436156</v>
      </c>
      <c r="M390" t="str">
        <f t="shared" si="6"/>
        <v>Sea Port</v>
      </c>
      <c r="N390" t="str">
        <f>TEXT(DATE(EXPORT[[#This Row],[Year]], A390, 1), "mmmm")</f>
        <v>September</v>
      </c>
    </row>
    <row r="391" spans="1:14" x14ac:dyDescent="0.3">
      <c r="A391">
        <v>10</v>
      </c>
      <c r="B391">
        <v>2020</v>
      </c>
      <c r="C391" t="s">
        <v>42</v>
      </c>
      <c r="D391">
        <v>33</v>
      </c>
      <c r="E391" t="s">
        <v>170</v>
      </c>
      <c r="F391" t="s">
        <v>190</v>
      </c>
      <c r="G391" t="s">
        <v>103</v>
      </c>
      <c r="H391" t="s">
        <v>104</v>
      </c>
      <c r="I391" t="s">
        <v>393</v>
      </c>
      <c r="J391">
        <v>9114</v>
      </c>
      <c r="K391">
        <v>1967478</v>
      </c>
      <c r="L391">
        <v>144527225</v>
      </c>
      <c r="M391" t="str">
        <f t="shared" si="6"/>
        <v>Other</v>
      </c>
      <c r="N391" t="str">
        <f>TEXT(DATE(EXPORT[[#This Row],[Year]], A391, 1), "mmmm")</f>
        <v>October</v>
      </c>
    </row>
    <row r="392" spans="1:14" x14ac:dyDescent="0.3">
      <c r="A392">
        <v>5</v>
      </c>
      <c r="B392">
        <v>2020</v>
      </c>
      <c r="C392" t="s">
        <v>23</v>
      </c>
      <c r="D392">
        <v>24</v>
      </c>
      <c r="E392" t="s">
        <v>429</v>
      </c>
      <c r="F392" t="s">
        <v>76</v>
      </c>
      <c r="G392" t="s">
        <v>358</v>
      </c>
      <c r="H392" t="s">
        <v>359</v>
      </c>
      <c r="I392" t="s">
        <v>360</v>
      </c>
      <c r="J392">
        <v>9754</v>
      </c>
      <c r="K392">
        <v>3709091</v>
      </c>
      <c r="L392">
        <v>280629428</v>
      </c>
      <c r="M392" t="str">
        <f t="shared" si="6"/>
        <v>Sea Port</v>
      </c>
      <c r="N392" t="str">
        <f>TEXT(DATE(EXPORT[[#This Row],[Year]], A392, 1), "mmmm")</f>
        <v>May</v>
      </c>
    </row>
    <row r="393" spans="1:14" x14ac:dyDescent="0.3">
      <c r="A393">
        <v>6</v>
      </c>
      <c r="B393">
        <v>2023</v>
      </c>
      <c r="C393" t="s">
        <v>23</v>
      </c>
      <c r="D393">
        <v>24</v>
      </c>
      <c r="E393" t="s">
        <v>430</v>
      </c>
      <c r="F393" t="s">
        <v>215</v>
      </c>
      <c r="G393" t="s">
        <v>398</v>
      </c>
      <c r="H393" t="s">
        <v>399</v>
      </c>
      <c r="I393" t="s">
        <v>360</v>
      </c>
      <c r="J393">
        <v>65096</v>
      </c>
      <c r="K393">
        <v>51157502</v>
      </c>
      <c r="L393">
        <v>4206870658</v>
      </c>
      <c r="M393" t="str">
        <f t="shared" si="6"/>
        <v>Other</v>
      </c>
      <c r="N393" t="str">
        <f>TEXT(DATE(EXPORT[[#This Row],[Year]], A393, 1), "mmmm")</f>
        <v>June</v>
      </c>
    </row>
    <row r="394" spans="1:14" x14ac:dyDescent="0.3">
      <c r="A394">
        <v>6</v>
      </c>
      <c r="B394">
        <v>2021</v>
      </c>
      <c r="C394" t="s">
        <v>23</v>
      </c>
      <c r="D394">
        <v>24</v>
      </c>
      <c r="E394" t="s">
        <v>431</v>
      </c>
      <c r="F394" t="s">
        <v>432</v>
      </c>
      <c r="G394" t="s">
        <v>433</v>
      </c>
      <c r="H394" t="s">
        <v>434</v>
      </c>
      <c r="I394" t="s">
        <v>360</v>
      </c>
      <c r="J394">
        <v>89418</v>
      </c>
      <c r="K394">
        <v>67177606</v>
      </c>
      <c r="L394">
        <v>4941470526</v>
      </c>
      <c r="M394" t="str">
        <f t="shared" si="6"/>
        <v>Sea Port</v>
      </c>
      <c r="N394" t="str">
        <f>TEXT(DATE(EXPORT[[#This Row],[Year]], A394, 1), "mmmm")</f>
        <v>June</v>
      </c>
    </row>
    <row r="395" spans="1:14" x14ac:dyDescent="0.3">
      <c r="A395">
        <v>12</v>
      </c>
      <c r="B395">
        <v>2019</v>
      </c>
      <c r="C395" t="s">
        <v>23</v>
      </c>
      <c r="D395">
        <v>24</v>
      </c>
      <c r="E395" t="s">
        <v>24</v>
      </c>
      <c r="F395" t="s">
        <v>435</v>
      </c>
      <c r="G395" t="s">
        <v>366</v>
      </c>
      <c r="H395" t="s">
        <v>367</v>
      </c>
      <c r="I395" t="s">
        <v>360</v>
      </c>
      <c r="J395">
        <v>18</v>
      </c>
      <c r="K395">
        <v>52383</v>
      </c>
      <c r="L395">
        <v>3729268</v>
      </c>
      <c r="M395" t="str">
        <f t="shared" si="6"/>
        <v>Other</v>
      </c>
      <c r="N395" t="str">
        <f>TEXT(DATE(EXPORT[[#This Row],[Year]], A395, 1), "mmmm")</f>
        <v>December</v>
      </c>
    </row>
    <row r="396" spans="1:14" x14ac:dyDescent="0.3">
      <c r="A396">
        <v>6</v>
      </c>
      <c r="B396">
        <v>2021</v>
      </c>
      <c r="C396" t="s">
        <v>42</v>
      </c>
      <c r="D396">
        <v>33</v>
      </c>
      <c r="E396" t="s">
        <v>176</v>
      </c>
      <c r="F396" t="s">
        <v>251</v>
      </c>
      <c r="G396" t="s">
        <v>160</v>
      </c>
      <c r="H396" t="s">
        <v>161</v>
      </c>
      <c r="I396" t="s">
        <v>365</v>
      </c>
      <c r="J396">
        <v>6760</v>
      </c>
      <c r="K396">
        <v>23332</v>
      </c>
      <c r="L396">
        <v>1716238</v>
      </c>
      <c r="M396" t="str">
        <f t="shared" si="6"/>
        <v>Sea Port</v>
      </c>
      <c r="N396" t="str">
        <f>TEXT(DATE(EXPORT[[#This Row],[Year]], A396, 1), "mmmm")</f>
        <v>June</v>
      </c>
    </row>
    <row r="397" spans="1:14" x14ac:dyDescent="0.3">
      <c r="A397">
        <v>6</v>
      </c>
      <c r="B397">
        <v>2021</v>
      </c>
      <c r="C397" t="s">
        <v>42</v>
      </c>
      <c r="D397">
        <v>33</v>
      </c>
      <c r="E397" t="s">
        <v>43</v>
      </c>
      <c r="F397" t="s">
        <v>44</v>
      </c>
      <c r="G397" t="s">
        <v>436</v>
      </c>
      <c r="H397" t="s">
        <v>437</v>
      </c>
      <c r="I397" t="s">
        <v>365</v>
      </c>
      <c r="J397">
        <v>24000</v>
      </c>
      <c r="K397">
        <v>23183</v>
      </c>
      <c r="L397">
        <v>1705292</v>
      </c>
      <c r="M397" t="str">
        <f t="shared" si="6"/>
        <v>Sea Port</v>
      </c>
      <c r="N397" t="str">
        <f>TEXT(DATE(EXPORT[[#This Row],[Year]], A397, 1), "mmmm")</f>
        <v>June</v>
      </c>
    </row>
    <row r="398" spans="1:14" x14ac:dyDescent="0.3">
      <c r="A398">
        <v>2</v>
      </c>
      <c r="B398">
        <v>2022</v>
      </c>
      <c r="C398" t="s">
        <v>132</v>
      </c>
      <c r="D398">
        <v>19</v>
      </c>
      <c r="E398" t="s">
        <v>133</v>
      </c>
      <c r="F398" t="s">
        <v>224</v>
      </c>
      <c r="G398" t="s">
        <v>121</v>
      </c>
      <c r="H398" t="s">
        <v>122</v>
      </c>
      <c r="I398" t="s">
        <v>365</v>
      </c>
      <c r="J398">
        <v>106</v>
      </c>
      <c r="K398">
        <v>20961</v>
      </c>
      <c r="L398">
        <v>1572163</v>
      </c>
      <c r="M398" t="str">
        <f t="shared" si="6"/>
        <v>Air Port</v>
      </c>
      <c r="N398" t="str">
        <f>TEXT(DATE(EXPORT[[#This Row],[Year]], A398, 1), "mmmm")</f>
        <v>February</v>
      </c>
    </row>
    <row r="399" spans="1:14" x14ac:dyDescent="0.3">
      <c r="A399">
        <v>6</v>
      </c>
      <c r="B399">
        <v>2023</v>
      </c>
      <c r="C399" t="s">
        <v>137</v>
      </c>
      <c r="D399">
        <v>36</v>
      </c>
      <c r="E399" t="s">
        <v>148</v>
      </c>
      <c r="F399" t="s">
        <v>134</v>
      </c>
      <c r="G399" t="s">
        <v>438</v>
      </c>
      <c r="H399" t="s">
        <v>439</v>
      </c>
      <c r="I399" t="s">
        <v>365</v>
      </c>
      <c r="J399">
        <v>3150</v>
      </c>
      <c r="K399">
        <v>1897114</v>
      </c>
      <c r="L399">
        <v>156006743</v>
      </c>
      <c r="M399" t="str">
        <f t="shared" si="6"/>
        <v>Sea Port</v>
      </c>
      <c r="N399" t="str">
        <f>TEXT(DATE(EXPORT[[#This Row],[Year]], A399, 1), "mmmm")</f>
        <v>June</v>
      </c>
    </row>
    <row r="400" spans="1:14" x14ac:dyDescent="0.3">
      <c r="A400">
        <v>12</v>
      </c>
      <c r="B400">
        <v>2022</v>
      </c>
      <c r="C400" t="s">
        <v>23</v>
      </c>
      <c r="D400">
        <v>24</v>
      </c>
      <c r="E400" t="s">
        <v>235</v>
      </c>
      <c r="F400" t="s">
        <v>118</v>
      </c>
      <c r="G400" t="s">
        <v>440</v>
      </c>
      <c r="H400" t="s">
        <v>441</v>
      </c>
      <c r="I400" t="s">
        <v>365</v>
      </c>
      <c r="J400">
        <v>38000</v>
      </c>
      <c r="K400">
        <v>72479</v>
      </c>
      <c r="L400">
        <v>5976937</v>
      </c>
      <c r="M400" t="str">
        <f t="shared" si="6"/>
        <v>Sea Port</v>
      </c>
      <c r="N400" t="str">
        <f>TEXT(DATE(EXPORT[[#This Row],[Year]], A400, 1), "mmmm")</f>
        <v>December</v>
      </c>
    </row>
    <row r="401" spans="1:14" x14ac:dyDescent="0.3">
      <c r="A401">
        <v>1</v>
      </c>
      <c r="B401">
        <v>2020</v>
      </c>
      <c r="C401" t="s">
        <v>33</v>
      </c>
      <c r="D401">
        <v>32</v>
      </c>
      <c r="E401" t="s">
        <v>214</v>
      </c>
      <c r="F401" t="s">
        <v>313</v>
      </c>
      <c r="G401" t="s">
        <v>442</v>
      </c>
      <c r="H401" t="s">
        <v>443</v>
      </c>
      <c r="I401" t="s">
        <v>365</v>
      </c>
      <c r="J401">
        <v>46911</v>
      </c>
      <c r="K401">
        <v>181941</v>
      </c>
      <c r="L401">
        <v>12974918</v>
      </c>
      <c r="M401" t="str">
        <f t="shared" si="6"/>
        <v>Sea Port</v>
      </c>
      <c r="N401" t="str">
        <f>TEXT(DATE(EXPORT[[#This Row],[Year]], A401, 1), "mmmm")</f>
        <v>January</v>
      </c>
    </row>
    <row r="402" spans="1:14" x14ac:dyDescent="0.3">
      <c r="A402">
        <v>4</v>
      </c>
      <c r="B402">
        <v>2022</v>
      </c>
      <c r="C402" t="s">
        <v>58</v>
      </c>
      <c r="D402">
        <v>27</v>
      </c>
      <c r="E402" t="s">
        <v>59</v>
      </c>
      <c r="F402" t="s">
        <v>354</v>
      </c>
      <c r="G402" t="s">
        <v>375</v>
      </c>
      <c r="H402" t="s">
        <v>376</v>
      </c>
      <c r="I402" t="s">
        <v>365</v>
      </c>
      <c r="J402">
        <v>825</v>
      </c>
      <c r="K402">
        <v>4244</v>
      </c>
      <c r="L402">
        <v>323261</v>
      </c>
      <c r="M402" t="str">
        <f t="shared" si="6"/>
        <v>Sea Port</v>
      </c>
      <c r="N402" t="str">
        <f>TEXT(DATE(EXPORT[[#This Row],[Year]], A402, 1), "mmmm")</f>
        <v>April</v>
      </c>
    </row>
    <row r="403" spans="1:14" x14ac:dyDescent="0.3">
      <c r="A403">
        <v>1</v>
      </c>
      <c r="B403">
        <v>2018</v>
      </c>
      <c r="C403" t="s">
        <v>28</v>
      </c>
      <c r="D403">
        <v>29</v>
      </c>
      <c r="E403" t="s">
        <v>236</v>
      </c>
      <c r="F403" t="s">
        <v>142</v>
      </c>
      <c r="G403" t="s">
        <v>444</v>
      </c>
      <c r="H403" t="s">
        <v>445</v>
      </c>
      <c r="I403" t="s">
        <v>365</v>
      </c>
      <c r="J403">
        <v>2306</v>
      </c>
      <c r="K403">
        <v>26743</v>
      </c>
      <c r="L403">
        <v>1701869</v>
      </c>
      <c r="M403" t="str">
        <f t="shared" si="6"/>
        <v>ICD / Dry Port</v>
      </c>
      <c r="N403" t="str">
        <f>TEXT(DATE(EXPORT[[#This Row],[Year]], A403, 1), "mmmm")</f>
        <v>January</v>
      </c>
    </row>
    <row r="404" spans="1:14" x14ac:dyDescent="0.3">
      <c r="A404">
        <v>3</v>
      </c>
      <c r="B404">
        <v>2021</v>
      </c>
      <c r="C404" t="s">
        <v>79</v>
      </c>
      <c r="D404">
        <v>9</v>
      </c>
      <c r="E404" t="s">
        <v>446</v>
      </c>
      <c r="F404" t="s">
        <v>294</v>
      </c>
      <c r="G404" t="s">
        <v>447</v>
      </c>
      <c r="H404" t="s">
        <v>448</v>
      </c>
      <c r="I404" t="s">
        <v>365</v>
      </c>
      <c r="J404">
        <v>100772</v>
      </c>
      <c r="K404">
        <v>85911</v>
      </c>
      <c r="L404">
        <v>6253704</v>
      </c>
      <c r="M404" t="str">
        <f t="shared" si="6"/>
        <v>ICD / Dry Port</v>
      </c>
      <c r="N404" t="str">
        <f>TEXT(DATE(EXPORT[[#This Row],[Year]], A404, 1), "mmmm")</f>
        <v>March</v>
      </c>
    </row>
    <row r="405" spans="1:14" x14ac:dyDescent="0.3">
      <c r="A405">
        <v>5</v>
      </c>
      <c r="B405">
        <v>2018</v>
      </c>
      <c r="C405" t="s">
        <v>42</v>
      </c>
      <c r="D405">
        <v>33</v>
      </c>
      <c r="E405" t="s">
        <v>111</v>
      </c>
      <c r="F405" t="s">
        <v>35</v>
      </c>
      <c r="G405" t="s">
        <v>444</v>
      </c>
      <c r="H405" t="s">
        <v>445</v>
      </c>
      <c r="I405" t="s">
        <v>365</v>
      </c>
      <c r="J405">
        <v>5958</v>
      </c>
      <c r="K405">
        <v>167613</v>
      </c>
      <c r="L405">
        <v>11320514</v>
      </c>
      <c r="M405" t="str">
        <f t="shared" si="6"/>
        <v>Air Port</v>
      </c>
      <c r="N405" t="str">
        <f>TEXT(DATE(EXPORT[[#This Row],[Year]], A405, 1), "mmmm")</f>
        <v>May</v>
      </c>
    </row>
    <row r="406" spans="1:14" x14ac:dyDescent="0.3">
      <c r="A406">
        <v>9</v>
      </c>
      <c r="B406">
        <v>2018</v>
      </c>
      <c r="C406" t="s">
        <v>28</v>
      </c>
      <c r="D406">
        <v>29</v>
      </c>
      <c r="E406" t="s">
        <v>312</v>
      </c>
      <c r="F406" t="s">
        <v>242</v>
      </c>
      <c r="G406" t="s">
        <v>449</v>
      </c>
      <c r="H406" t="s">
        <v>450</v>
      </c>
      <c r="I406" t="s">
        <v>365</v>
      </c>
      <c r="J406">
        <v>182400</v>
      </c>
      <c r="K406">
        <v>102459</v>
      </c>
      <c r="L406">
        <v>7399072</v>
      </c>
      <c r="M406" t="str">
        <f t="shared" si="6"/>
        <v>Sea Port</v>
      </c>
      <c r="N406" t="str">
        <f>TEXT(DATE(EXPORT[[#This Row],[Year]], A406, 1), "mmmm")</f>
        <v>September</v>
      </c>
    </row>
    <row r="407" spans="1:14" x14ac:dyDescent="0.3">
      <c r="A407">
        <v>8</v>
      </c>
      <c r="B407">
        <v>2019</v>
      </c>
      <c r="C407" t="s">
        <v>28</v>
      </c>
      <c r="D407">
        <v>29</v>
      </c>
      <c r="E407" t="s">
        <v>29</v>
      </c>
      <c r="F407" t="s">
        <v>153</v>
      </c>
      <c r="G407" t="s">
        <v>451</v>
      </c>
      <c r="H407" t="s">
        <v>452</v>
      </c>
      <c r="I407" t="s">
        <v>365</v>
      </c>
      <c r="J407">
        <v>122</v>
      </c>
      <c r="K407">
        <v>1007</v>
      </c>
      <c r="L407">
        <v>71638</v>
      </c>
      <c r="M407" t="str">
        <f t="shared" si="6"/>
        <v>Sea Port</v>
      </c>
      <c r="N407" t="str">
        <f>TEXT(DATE(EXPORT[[#This Row],[Year]], A407, 1), "mmmm")</f>
        <v>August</v>
      </c>
    </row>
    <row r="408" spans="1:14" x14ac:dyDescent="0.3">
      <c r="A408">
        <v>12</v>
      </c>
      <c r="B408">
        <v>2018</v>
      </c>
      <c r="C408" t="s">
        <v>33</v>
      </c>
      <c r="D408">
        <v>32</v>
      </c>
      <c r="E408" t="s">
        <v>214</v>
      </c>
      <c r="F408" t="s">
        <v>118</v>
      </c>
      <c r="G408" t="s">
        <v>453</v>
      </c>
      <c r="H408" t="s">
        <v>454</v>
      </c>
      <c r="I408" t="s">
        <v>365</v>
      </c>
      <c r="J408">
        <v>100</v>
      </c>
      <c r="K408">
        <v>9802</v>
      </c>
      <c r="L408">
        <v>693271</v>
      </c>
      <c r="M408" t="str">
        <f t="shared" si="6"/>
        <v>Sea Port</v>
      </c>
      <c r="N408" t="str">
        <f>TEXT(DATE(EXPORT[[#This Row],[Year]], A408, 1), "mmmm")</f>
        <v>December</v>
      </c>
    </row>
    <row r="409" spans="1:14" x14ac:dyDescent="0.3">
      <c r="A409">
        <v>6</v>
      </c>
      <c r="B409">
        <v>2018</v>
      </c>
      <c r="C409" t="s">
        <v>132</v>
      </c>
      <c r="D409">
        <v>19</v>
      </c>
      <c r="E409" t="s">
        <v>133</v>
      </c>
      <c r="F409" t="s">
        <v>224</v>
      </c>
      <c r="G409" t="s">
        <v>455</v>
      </c>
      <c r="H409" t="s">
        <v>456</v>
      </c>
      <c r="I409" t="s">
        <v>365</v>
      </c>
      <c r="J409">
        <v>31</v>
      </c>
      <c r="K409">
        <v>135</v>
      </c>
      <c r="L409">
        <v>9174</v>
      </c>
      <c r="M409" t="str">
        <f t="shared" si="6"/>
        <v>Air Port</v>
      </c>
      <c r="N409" t="str">
        <f>TEXT(DATE(EXPORT[[#This Row],[Year]], A409, 1), "mmmm")</f>
        <v>June</v>
      </c>
    </row>
    <row r="410" spans="1:14" x14ac:dyDescent="0.3">
      <c r="A410">
        <v>10</v>
      </c>
      <c r="B410">
        <v>2022</v>
      </c>
      <c r="C410" t="s">
        <v>12</v>
      </c>
      <c r="D410">
        <v>8</v>
      </c>
      <c r="E410" t="s">
        <v>13</v>
      </c>
      <c r="F410" t="s">
        <v>118</v>
      </c>
      <c r="G410" t="s">
        <v>457</v>
      </c>
      <c r="H410" t="s">
        <v>458</v>
      </c>
      <c r="I410" t="s">
        <v>365</v>
      </c>
      <c r="J410">
        <v>3821</v>
      </c>
      <c r="K410">
        <v>10379</v>
      </c>
      <c r="L410">
        <v>854634</v>
      </c>
      <c r="M410" t="str">
        <f t="shared" si="6"/>
        <v>ICD / Dry Port</v>
      </c>
      <c r="N410" t="str">
        <f>TEXT(DATE(EXPORT[[#This Row],[Year]], A410, 1), "mmmm")</f>
        <v>October</v>
      </c>
    </row>
    <row r="411" spans="1:14" x14ac:dyDescent="0.3">
      <c r="A411">
        <v>4</v>
      </c>
      <c r="B411">
        <v>2023</v>
      </c>
      <c r="C411" t="s">
        <v>23</v>
      </c>
      <c r="D411">
        <v>24</v>
      </c>
      <c r="E411" t="s">
        <v>235</v>
      </c>
      <c r="F411" t="s">
        <v>243</v>
      </c>
      <c r="G411" t="s">
        <v>160</v>
      </c>
      <c r="H411" t="s">
        <v>161</v>
      </c>
      <c r="I411" t="s">
        <v>365</v>
      </c>
      <c r="J411">
        <v>102640</v>
      </c>
      <c r="K411">
        <v>126615</v>
      </c>
      <c r="L411">
        <v>10385069</v>
      </c>
      <c r="M411" t="str">
        <f t="shared" si="6"/>
        <v>Sea Port</v>
      </c>
      <c r="N411" t="str">
        <f>TEXT(DATE(EXPORT[[#This Row],[Year]], A411, 1), "mmmm")</f>
        <v>April</v>
      </c>
    </row>
    <row r="412" spans="1:14" x14ac:dyDescent="0.3">
      <c r="A412">
        <v>7</v>
      </c>
      <c r="B412">
        <v>2022</v>
      </c>
      <c r="C412" t="s">
        <v>42</v>
      </c>
      <c r="D412">
        <v>33</v>
      </c>
      <c r="E412" t="s">
        <v>43</v>
      </c>
      <c r="F412" t="s">
        <v>130</v>
      </c>
      <c r="G412" t="s">
        <v>457</v>
      </c>
      <c r="H412" t="s">
        <v>458</v>
      </c>
      <c r="I412" t="s">
        <v>365</v>
      </c>
      <c r="J412">
        <v>26500</v>
      </c>
      <c r="K412">
        <v>28317</v>
      </c>
      <c r="L412">
        <v>2254057</v>
      </c>
      <c r="M412" t="str">
        <f t="shared" si="6"/>
        <v>Sea Port</v>
      </c>
      <c r="N412" t="str">
        <f>TEXT(DATE(EXPORT[[#This Row],[Year]], A412, 1), "mmmm")</f>
        <v>July</v>
      </c>
    </row>
    <row r="413" spans="1:14" x14ac:dyDescent="0.3">
      <c r="A413">
        <v>1</v>
      </c>
      <c r="B413">
        <v>2019</v>
      </c>
      <c r="C413" t="s">
        <v>47</v>
      </c>
      <c r="D413">
        <v>7</v>
      </c>
      <c r="E413" t="s">
        <v>48</v>
      </c>
      <c r="F413" t="s">
        <v>459</v>
      </c>
      <c r="G413" t="s">
        <v>460</v>
      </c>
      <c r="H413" t="s">
        <v>461</v>
      </c>
      <c r="I413" t="s">
        <v>365</v>
      </c>
      <c r="J413">
        <v>2710</v>
      </c>
      <c r="K413">
        <v>308420</v>
      </c>
      <c r="L413">
        <v>21815441</v>
      </c>
      <c r="M413" t="str">
        <f t="shared" si="6"/>
        <v>Air Port</v>
      </c>
      <c r="N413" t="str">
        <f>TEXT(DATE(EXPORT[[#This Row],[Year]], A413, 1), "mmmm")</f>
        <v>January</v>
      </c>
    </row>
    <row r="414" spans="1:14" x14ac:dyDescent="0.3">
      <c r="A414">
        <v>1</v>
      </c>
      <c r="B414">
        <v>2021</v>
      </c>
      <c r="C414" t="s">
        <v>42</v>
      </c>
      <c r="D414">
        <v>33</v>
      </c>
      <c r="E414" t="s">
        <v>43</v>
      </c>
      <c r="F414" t="s">
        <v>263</v>
      </c>
      <c r="G414" t="s">
        <v>462</v>
      </c>
      <c r="H414" t="s">
        <v>463</v>
      </c>
      <c r="I414" t="s">
        <v>365</v>
      </c>
      <c r="J414">
        <v>3590</v>
      </c>
      <c r="K414">
        <v>28904</v>
      </c>
      <c r="L414">
        <v>2113160</v>
      </c>
      <c r="M414" t="str">
        <f t="shared" si="6"/>
        <v>Sea Port</v>
      </c>
      <c r="N414" t="str">
        <f>TEXT(DATE(EXPORT[[#This Row],[Year]], A414, 1), "mmmm")</f>
        <v>January</v>
      </c>
    </row>
    <row r="415" spans="1:14" x14ac:dyDescent="0.3">
      <c r="A415">
        <v>4</v>
      </c>
      <c r="B415">
        <v>2023</v>
      </c>
      <c r="C415" t="s">
        <v>42</v>
      </c>
      <c r="D415">
        <v>33</v>
      </c>
      <c r="E415" t="s">
        <v>238</v>
      </c>
      <c r="F415" t="s">
        <v>194</v>
      </c>
      <c r="G415" t="s">
        <v>160</v>
      </c>
      <c r="H415" t="s">
        <v>161</v>
      </c>
      <c r="I415" t="s">
        <v>365</v>
      </c>
      <c r="J415">
        <v>2450</v>
      </c>
      <c r="K415">
        <v>2759</v>
      </c>
      <c r="L415">
        <v>226269</v>
      </c>
      <c r="M415" t="str">
        <f t="shared" si="6"/>
        <v>Sea Port</v>
      </c>
      <c r="N415" t="str">
        <f>TEXT(DATE(EXPORT[[#This Row],[Year]], A415, 1), "mmmm")</f>
        <v>April</v>
      </c>
    </row>
    <row r="416" spans="1:14" x14ac:dyDescent="0.3">
      <c r="A416">
        <v>7</v>
      </c>
      <c r="B416">
        <v>2023</v>
      </c>
      <c r="C416" t="s">
        <v>33</v>
      </c>
      <c r="D416">
        <v>32</v>
      </c>
      <c r="E416" t="s">
        <v>214</v>
      </c>
      <c r="F416" t="s">
        <v>464</v>
      </c>
      <c r="G416" t="s">
        <v>465</v>
      </c>
      <c r="H416" t="s">
        <v>466</v>
      </c>
      <c r="I416" t="s">
        <v>365</v>
      </c>
      <c r="J416">
        <v>60</v>
      </c>
      <c r="K416">
        <v>178</v>
      </c>
      <c r="L416">
        <v>14616</v>
      </c>
      <c r="M416" t="str">
        <f t="shared" si="6"/>
        <v>Sea Port</v>
      </c>
      <c r="N416" t="str">
        <f>TEXT(DATE(EXPORT[[#This Row],[Year]], A416, 1), "mmmm")</f>
        <v>July</v>
      </c>
    </row>
    <row r="417" spans="1:14" x14ac:dyDescent="0.3">
      <c r="A417">
        <v>11</v>
      </c>
      <c r="B417">
        <v>2019</v>
      </c>
      <c r="C417" t="s">
        <v>23</v>
      </c>
      <c r="D417">
        <v>24</v>
      </c>
      <c r="E417" t="s">
        <v>24</v>
      </c>
      <c r="F417" t="s">
        <v>208</v>
      </c>
      <c r="G417" t="s">
        <v>457</v>
      </c>
      <c r="H417" t="s">
        <v>458</v>
      </c>
      <c r="I417" t="s">
        <v>365</v>
      </c>
      <c r="J417">
        <v>52650</v>
      </c>
      <c r="K417">
        <v>8089</v>
      </c>
      <c r="L417">
        <v>577997</v>
      </c>
      <c r="M417" t="str">
        <f t="shared" si="6"/>
        <v>Other</v>
      </c>
      <c r="N417" t="str">
        <f>TEXT(DATE(EXPORT[[#This Row],[Year]], A417, 1), "mmmm")</f>
        <v>November</v>
      </c>
    </row>
    <row r="418" spans="1:14" x14ac:dyDescent="0.3">
      <c r="A418">
        <v>5</v>
      </c>
      <c r="B418">
        <v>2023</v>
      </c>
      <c r="C418" t="s">
        <v>23</v>
      </c>
      <c r="D418">
        <v>24</v>
      </c>
      <c r="E418" t="s">
        <v>24</v>
      </c>
      <c r="F418" t="s">
        <v>105</v>
      </c>
      <c r="G418" t="s">
        <v>465</v>
      </c>
      <c r="H418" t="s">
        <v>466</v>
      </c>
      <c r="I418" t="s">
        <v>365</v>
      </c>
      <c r="J418">
        <v>239425</v>
      </c>
      <c r="K418">
        <v>492401</v>
      </c>
      <c r="L418">
        <v>40545964</v>
      </c>
      <c r="M418" t="str">
        <f t="shared" si="6"/>
        <v>Other</v>
      </c>
      <c r="N418" t="str">
        <f>TEXT(DATE(EXPORT[[#This Row],[Year]], A418, 1), "mmmm")</f>
        <v>May</v>
      </c>
    </row>
    <row r="419" spans="1:14" x14ac:dyDescent="0.3">
      <c r="A419">
        <v>8</v>
      </c>
      <c r="B419">
        <v>2019</v>
      </c>
      <c r="C419" t="s">
        <v>28</v>
      </c>
      <c r="D419">
        <v>29</v>
      </c>
      <c r="E419" t="s">
        <v>29</v>
      </c>
      <c r="F419" t="s">
        <v>263</v>
      </c>
      <c r="G419" t="s">
        <v>467</v>
      </c>
      <c r="H419" t="s">
        <v>468</v>
      </c>
      <c r="I419" t="s">
        <v>365</v>
      </c>
      <c r="J419">
        <v>1763</v>
      </c>
      <c r="K419">
        <v>103756</v>
      </c>
      <c r="L419">
        <v>7381788</v>
      </c>
      <c r="M419" t="str">
        <f t="shared" si="6"/>
        <v>Sea Port</v>
      </c>
      <c r="N419" t="str">
        <f>TEXT(DATE(EXPORT[[#This Row],[Year]], A419, 1), "mmmm")</f>
        <v>August</v>
      </c>
    </row>
    <row r="420" spans="1:14" x14ac:dyDescent="0.3">
      <c r="A420">
        <v>7</v>
      </c>
      <c r="B420">
        <v>2021</v>
      </c>
      <c r="C420" t="s">
        <v>42</v>
      </c>
      <c r="D420">
        <v>33</v>
      </c>
      <c r="E420" t="s">
        <v>111</v>
      </c>
      <c r="F420" t="s">
        <v>217</v>
      </c>
      <c r="G420" t="s">
        <v>462</v>
      </c>
      <c r="H420" t="s">
        <v>463</v>
      </c>
      <c r="I420" t="s">
        <v>365</v>
      </c>
      <c r="J420">
        <v>883</v>
      </c>
      <c r="K420">
        <v>28274</v>
      </c>
      <c r="L420">
        <v>2107172</v>
      </c>
      <c r="M420" t="str">
        <f t="shared" si="6"/>
        <v>Air Port</v>
      </c>
      <c r="N420" t="str">
        <f>TEXT(DATE(EXPORT[[#This Row],[Year]], A420, 1), "mmmm")</f>
        <v>July</v>
      </c>
    </row>
    <row r="421" spans="1:14" x14ac:dyDescent="0.3">
      <c r="A421">
        <v>8</v>
      </c>
      <c r="B421">
        <v>2020</v>
      </c>
      <c r="C421" t="s">
        <v>42</v>
      </c>
      <c r="D421">
        <v>33</v>
      </c>
      <c r="E421" t="s">
        <v>111</v>
      </c>
      <c r="F421" t="s">
        <v>81</v>
      </c>
      <c r="G421" t="s">
        <v>460</v>
      </c>
      <c r="H421" t="s">
        <v>461</v>
      </c>
      <c r="I421" t="s">
        <v>365</v>
      </c>
      <c r="J421">
        <v>13</v>
      </c>
      <c r="K421">
        <v>19398</v>
      </c>
      <c r="L421">
        <v>1448477</v>
      </c>
      <c r="M421" t="str">
        <f t="shared" si="6"/>
        <v>Air Port</v>
      </c>
      <c r="N421" t="str">
        <f>TEXT(DATE(EXPORT[[#This Row],[Year]], A421, 1), "mmmm")</f>
        <v>August</v>
      </c>
    </row>
    <row r="422" spans="1:14" x14ac:dyDescent="0.3">
      <c r="A422">
        <v>2</v>
      </c>
      <c r="B422">
        <v>2022</v>
      </c>
      <c r="C422" t="s">
        <v>275</v>
      </c>
      <c r="D422">
        <v>28</v>
      </c>
      <c r="E422" t="s">
        <v>469</v>
      </c>
      <c r="F422" t="s">
        <v>180</v>
      </c>
      <c r="G422" t="s">
        <v>436</v>
      </c>
      <c r="H422" t="s">
        <v>437</v>
      </c>
      <c r="I422" t="s">
        <v>365</v>
      </c>
      <c r="J422">
        <v>294000</v>
      </c>
      <c r="K422">
        <v>288500</v>
      </c>
      <c r="L422">
        <v>21638400</v>
      </c>
      <c r="M422" t="str">
        <f t="shared" si="6"/>
        <v>Sea Port</v>
      </c>
      <c r="N422" t="str">
        <f>TEXT(DATE(EXPORT[[#This Row],[Year]], A422, 1), "mmmm")</f>
        <v>February</v>
      </c>
    </row>
    <row r="423" spans="1:14" x14ac:dyDescent="0.3">
      <c r="A423">
        <v>1</v>
      </c>
      <c r="B423">
        <v>2018</v>
      </c>
      <c r="C423" t="s">
        <v>28</v>
      </c>
      <c r="D423">
        <v>29</v>
      </c>
      <c r="E423" t="s">
        <v>29</v>
      </c>
      <c r="F423" t="s">
        <v>215</v>
      </c>
      <c r="G423" t="s">
        <v>470</v>
      </c>
      <c r="H423" t="s">
        <v>471</v>
      </c>
      <c r="I423" t="s">
        <v>365</v>
      </c>
      <c r="J423">
        <v>20</v>
      </c>
      <c r="K423">
        <v>159</v>
      </c>
      <c r="L423">
        <v>10145</v>
      </c>
      <c r="M423" t="str">
        <f t="shared" si="6"/>
        <v>Sea Port</v>
      </c>
      <c r="N423" t="str">
        <f>TEXT(DATE(EXPORT[[#This Row],[Year]], A423, 1), "mmmm")</f>
        <v>January</v>
      </c>
    </row>
    <row r="424" spans="1:14" x14ac:dyDescent="0.3">
      <c r="A424">
        <v>1</v>
      </c>
      <c r="B424">
        <v>2020</v>
      </c>
      <c r="C424" t="s">
        <v>42</v>
      </c>
      <c r="D424">
        <v>33</v>
      </c>
      <c r="E424" t="s">
        <v>111</v>
      </c>
      <c r="F424" t="s">
        <v>265</v>
      </c>
      <c r="G424" t="s">
        <v>472</v>
      </c>
      <c r="H424" t="s">
        <v>473</v>
      </c>
      <c r="I424" t="s">
        <v>365</v>
      </c>
      <c r="J424">
        <v>9394</v>
      </c>
      <c r="K424">
        <v>536575</v>
      </c>
      <c r="L424">
        <v>38265204</v>
      </c>
      <c r="M424" t="str">
        <f t="shared" si="6"/>
        <v>Air Port</v>
      </c>
      <c r="N424" t="str">
        <f>TEXT(DATE(EXPORT[[#This Row],[Year]], A424, 1), "mmmm")</f>
        <v>January</v>
      </c>
    </row>
    <row r="425" spans="1:14" x14ac:dyDescent="0.3">
      <c r="A425">
        <v>7</v>
      </c>
      <c r="B425">
        <v>2023</v>
      </c>
      <c r="C425" t="s">
        <v>58</v>
      </c>
      <c r="D425">
        <v>27</v>
      </c>
      <c r="E425" t="s">
        <v>125</v>
      </c>
      <c r="F425" t="s">
        <v>294</v>
      </c>
      <c r="G425" t="s">
        <v>451</v>
      </c>
      <c r="H425" t="s">
        <v>452</v>
      </c>
      <c r="I425" t="s">
        <v>365</v>
      </c>
      <c r="J425">
        <v>130</v>
      </c>
      <c r="K425">
        <v>370</v>
      </c>
      <c r="L425">
        <v>30408</v>
      </c>
      <c r="M425" t="str">
        <f t="shared" si="6"/>
        <v>Air Port</v>
      </c>
      <c r="N425" t="str">
        <f>TEXT(DATE(EXPORT[[#This Row],[Year]], A425, 1), "mmmm")</f>
        <v>July</v>
      </c>
    </row>
    <row r="426" spans="1:14" x14ac:dyDescent="0.3">
      <c r="A426">
        <v>11</v>
      </c>
      <c r="B426">
        <v>2019</v>
      </c>
      <c r="C426" t="s">
        <v>58</v>
      </c>
      <c r="D426">
        <v>27</v>
      </c>
      <c r="E426" t="s">
        <v>59</v>
      </c>
      <c r="F426" t="s">
        <v>334</v>
      </c>
      <c r="G426" t="s">
        <v>447</v>
      </c>
      <c r="H426" t="s">
        <v>448</v>
      </c>
      <c r="I426" t="s">
        <v>365</v>
      </c>
      <c r="J426">
        <v>49990</v>
      </c>
      <c r="K426">
        <v>47216</v>
      </c>
      <c r="L426">
        <v>3373698</v>
      </c>
      <c r="M426" t="str">
        <f t="shared" si="6"/>
        <v>Sea Port</v>
      </c>
      <c r="N426" t="str">
        <f>TEXT(DATE(EXPORT[[#This Row],[Year]], A426, 1), "mmmm")</f>
        <v>November</v>
      </c>
    </row>
    <row r="427" spans="1:14" x14ac:dyDescent="0.3">
      <c r="A427">
        <v>3</v>
      </c>
      <c r="B427">
        <v>2022</v>
      </c>
      <c r="C427" t="s">
        <v>47</v>
      </c>
      <c r="D427">
        <v>7</v>
      </c>
      <c r="E427" t="s">
        <v>51</v>
      </c>
      <c r="F427" t="s">
        <v>163</v>
      </c>
      <c r="G427" t="s">
        <v>453</v>
      </c>
      <c r="H427" t="s">
        <v>454</v>
      </c>
      <c r="I427" t="s">
        <v>365</v>
      </c>
      <c r="J427">
        <v>100</v>
      </c>
      <c r="K427">
        <v>1631</v>
      </c>
      <c r="L427">
        <v>124322</v>
      </c>
      <c r="M427" t="str">
        <f t="shared" si="6"/>
        <v>ICD / Dry Port</v>
      </c>
      <c r="N427" t="str">
        <f>TEXT(DATE(EXPORT[[#This Row],[Year]], A427, 1), "mmmm")</f>
        <v>March</v>
      </c>
    </row>
    <row r="428" spans="1:14" x14ac:dyDescent="0.3">
      <c r="A428">
        <v>11</v>
      </c>
      <c r="B428">
        <v>2022</v>
      </c>
      <c r="C428" t="s">
        <v>42</v>
      </c>
      <c r="D428">
        <v>33</v>
      </c>
      <c r="E428" t="s">
        <v>43</v>
      </c>
      <c r="F428" t="s">
        <v>180</v>
      </c>
      <c r="G428" t="s">
        <v>474</v>
      </c>
      <c r="H428" t="s">
        <v>475</v>
      </c>
      <c r="I428" t="s">
        <v>365</v>
      </c>
      <c r="J428">
        <v>7920</v>
      </c>
      <c r="K428">
        <v>79461</v>
      </c>
      <c r="L428">
        <v>6500728</v>
      </c>
      <c r="M428" t="str">
        <f t="shared" si="6"/>
        <v>Sea Port</v>
      </c>
      <c r="N428" t="str">
        <f>TEXT(DATE(EXPORT[[#This Row],[Year]], A428, 1), "mmmm")</f>
        <v>November</v>
      </c>
    </row>
    <row r="429" spans="1:14" x14ac:dyDescent="0.3">
      <c r="A429">
        <v>5</v>
      </c>
      <c r="B429">
        <v>2018</v>
      </c>
      <c r="C429" t="s">
        <v>132</v>
      </c>
      <c r="D429">
        <v>19</v>
      </c>
      <c r="E429" t="s">
        <v>133</v>
      </c>
      <c r="F429" t="s">
        <v>321</v>
      </c>
      <c r="G429" t="s">
        <v>476</v>
      </c>
      <c r="H429" t="s">
        <v>477</v>
      </c>
      <c r="I429" t="s">
        <v>365</v>
      </c>
      <c r="J429">
        <v>214</v>
      </c>
      <c r="K429">
        <v>3470</v>
      </c>
      <c r="L429">
        <v>234390</v>
      </c>
      <c r="M429" t="str">
        <f t="shared" si="6"/>
        <v>Air Port</v>
      </c>
      <c r="N429" t="str">
        <f>TEXT(DATE(EXPORT[[#This Row],[Year]], A429, 1), "mmmm")</f>
        <v>May</v>
      </c>
    </row>
    <row r="430" spans="1:14" x14ac:dyDescent="0.3">
      <c r="A430">
        <v>5</v>
      </c>
      <c r="B430">
        <v>2019</v>
      </c>
      <c r="C430" t="s">
        <v>42</v>
      </c>
      <c r="D430">
        <v>33</v>
      </c>
      <c r="E430" t="s">
        <v>43</v>
      </c>
      <c r="F430" t="s">
        <v>142</v>
      </c>
      <c r="G430" t="s">
        <v>478</v>
      </c>
      <c r="H430" t="s">
        <v>479</v>
      </c>
      <c r="I430" t="s">
        <v>365</v>
      </c>
      <c r="J430">
        <v>96000</v>
      </c>
      <c r="K430">
        <v>11234</v>
      </c>
      <c r="L430">
        <v>783821</v>
      </c>
      <c r="M430" t="str">
        <f t="shared" si="6"/>
        <v>Sea Port</v>
      </c>
      <c r="N430" t="str">
        <f>TEXT(DATE(EXPORT[[#This Row],[Year]], A430, 1), "mmmm")</f>
        <v>May</v>
      </c>
    </row>
    <row r="431" spans="1:14" x14ac:dyDescent="0.3">
      <c r="A431">
        <v>3</v>
      </c>
      <c r="B431">
        <v>2021</v>
      </c>
      <c r="C431" t="s">
        <v>28</v>
      </c>
      <c r="D431">
        <v>29</v>
      </c>
      <c r="E431" t="s">
        <v>236</v>
      </c>
      <c r="F431" t="s">
        <v>60</v>
      </c>
      <c r="G431" t="s">
        <v>438</v>
      </c>
      <c r="H431" t="s">
        <v>439</v>
      </c>
      <c r="I431" t="s">
        <v>365</v>
      </c>
      <c r="J431">
        <v>4000</v>
      </c>
      <c r="K431">
        <v>110420</v>
      </c>
      <c r="L431">
        <v>8037748</v>
      </c>
      <c r="M431" t="str">
        <f t="shared" si="6"/>
        <v>ICD / Dry Port</v>
      </c>
      <c r="N431" t="str">
        <f>TEXT(DATE(EXPORT[[#This Row],[Year]], A431, 1), "mmmm")</f>
        <v>March</v>
      </c>
    </row>
    <row r="432" spans="1:14" x14ac:dyDescent="0.3">
      <c r="A432">
        <v>6</v>
      </c>
      <c r="B432">
        <v>2021</v>
      </c>
      <c r="C432" t="s">
        <v>73</v>
      </c>
      <c r="D432">
        <v>3</v>
      </c>
      <c r="E432" t="s">
        <v>221</v>
      </c>
      <c r="F432" t="s">
        <v>68</v>
      </c>
      <c r="G432" t="s">
        <v>460</v>
      </c>
      <c r="H432" t="s">
        <v>461</v>
      </c>
      <c r="I432" t="s">
        <v>365</v>
      </c>
      <c r="J432">
        <v>18000</v>
      </c>
      <c r="K432">
        <v>221757</v>
      </c>
      <c r="L432">
        <v>16312062</v>
      </c>
      <c r="M432" t="str">
        <f t="shared" si="6"/>
        <v>ICD / Dry Port</v>
      </c>
      <c r="N432" t="str">
        <f>TEXT(DATE(EXPORT[[#This Row],[Year]], A432, 1), "mmmm")</f>
        <v>June</v>
      </c>
    </row>
    <row r="433" spans="1:14" x14ac:dyDescent="0.3">
      <c r="A433">
        <v>12</v>
      </c>
      <c r="B433">
        <v>2019</v>
      </c>
      <c r="C433" t="s">
        <v>58</v>
      </c>
      <c r="D433">
        <v>27</v>
      </c>
      <c r="E433" t="s">
        <v>125</v>
      </c>
      <c r="F433" t="s">
        <v>215</v>
      </c>
      <c r="G433" t="s">
        <v>438</v>
      </c>
      <c r="H433" t="s">
        <v>439</v>
      </c>
      <c r="I433" t="s">
        <v>365</v>
      </c>
      <c r="J433">
        <v>30227</v>
      </c>
      <c r="K433">
        <v>2203356</v>
      </c>
      <c r="L433">
        <v>156862632</v>
      </c>
      <c r="M433" t="str">
        <f t="shared" si="6"/>
        <v>Air Port</v>
      </c>
      <c r="N433" t="str">
        <f>TEXT(DATE(EXPORT[[#This Row],[Year]], A433, 1), "mmmm")</f>
        <v>December</v>
      </c>
    </row>
    <row r="434" spans="1:14" x14ac:dyDescent="0.3">
      <c r="A434">
        <v>3</v>
      </c>
      <c r="B434">
        <v>2023</v>
      </c>
      <c r="C434" t="s">
        <v>23</v>
      </c>
      <c r="D434">
        <v>24</v>
      </c>
      <c r="E434" t="s">
        <v>218</v>
      </c>
      <c r="F434" t="s">
        <v>220</v>
      </c>
      <c r="G434" t="s">
        <v>460</v>
      </c>
      <c r="H434" t="s">
        <v>461</v>
      </c>
      <c r="I434" t="s">
        <v>365</v>
      </c>
      <c r="J434">
        <v>959</v>
      </c>
      <c r="K434">
        <v>491592</v>
      </c>
      <c r="L434">
        <v>40452452</v>
      </c>
      <c r="M434" t="str">
        <f t="shared" si="6"/>
        <v>Air Port</v>
      </c>
      <c r="N434" t="str">
        <f>TEXT(DATE(EXPORT[[#This Row],[Year]], A434, 1), "mmmm")</f>
        <v>March</v>
      </c>
    </row>
    <row r="435" spans="1:14" x14ac:dyDescent="0.3">
      <c r="A435">
        <v>10</v>
      </c>
      <c r="B435">
        <v>2018</v>
      </c>
      <c r="C435" t="s">
        <v>47</v>
      </c>
      <c r="D435">
        <v>7</v>
      </c>
      <c r="E435" t="s">
        <v>51</v>
      </c>
      <c r="F435" t="s">
        <v>145</v>
      </c>
      <c r="G435" t="s">
        <v>480</v>
      </c>
      <c r="H435" t="s">
        <v>481</v>
      </c>
      <c r="I435" t="s">
        <v>365</v>
      </c>
      <c r="J435">
        <v>3916</v>
      </c>
      <c r="K435">
        <v>6887</v>
      </c>
      <c r="L435">
        <v>507109</v>
      </c>
      <c r="M435" t="str">
        <f t="shared" si="6"/>
        <v>ICD / Dry Port</v>
      </c>
      <c r="N435" t="str">
        <f>TEXT(DATE(EXPORT[[#This Row],[Year]], A435, 1), "mmmm")</f>
        <v>October</v>
      </c>
    </row>
    <row r="436" spans="1:14" x14ac:dyDescent="0.3">
      <c r="A436">
        <v>1</v>
      </c>
      <c r="B436">
        <v>2018</v>
      </c>
      <c r="C436" t="s">
        <v>23</v>
      </c>
      <c r="D436">
        <v>24</v>
      </c>
      <c r="E436" t="s">
        <v>24</v>
      </c>
      <c r="F436" t="s">
        <v>164</v>
      </c>
      <c r="G436" t="s">
        <v>462</v>
      </c>
      <c r="H436" t="s">
        <v>463</v>
      </c>
      <c r="I436" t="s">
        <v>365</v>
      </c>
      <c r="J436">
        <v>8404</v>
      </c>
      <c r="K436">
        <v>44751</v>
      </c>
      <c r="L436">
        <v>2847791</v>
      </c>
      <c r="M436" t="str">
        <f t="shared" si="6"/>
        <v>Other</v>
      </c>
      <c r="N436" t="str">
        <f>TEXT(DATE(EXPORT[[#This Row],[Year]], A436, 1), "mmmm")</f>
        <v>January</v>
      </c>
    </row>
    <row r="437" spans="1:14" x14ac:dyDescent="0.3">
      <c r="A437">
        <v>3</v>
      </c>
      <c r="B437">
        <v>2023</v>
      </c>
      <c r="C437" t="s">
        <v>63</v>
      </c>
      <c r="D437">
        <v>23</v>
      </c>
      <c r="E437" t="s">
        <v>64</v>
      </c>
      <c r="F437" t="s">
        <v>482</v>
      </c>
      <c r="G437" t="s">
        <v>438</v>
      </c>
      <c r="H437" t="s">
        <v>439</v>
      </c>
      <c r="I437" t="s">
        <v>365</v>
      </c>
      <c r="J437">
        <v>1350</v>
      </c>
      <c r="K437">
        <v>29552</v>
      </c>
      <c r="L437">
        <v>2431766</v>
      </c>
      <c r="M437" t="str">
        <f t="shared" si="6"/>
        <v>SEZ / Industrial Zone</v>
      </c>
      <c r="N437" t="str">
        <f>TEXT(DATE(EXPORT[[#This Row],[Year]], A437, 1), "mmmm")</f>
        <v>March</v>
      </c>
    </row>
    <row r="438" spans="1:14" x14ac:dyDescent="0.3">
      <c r="A438">
        <v>3</v>
      </c>
      <c r="B438">
        <v>2022</v>
      </c>
      <c r="C438" t="s">
        <v>58</v>
      </c>
      <c r="D438">
        <v>27</v>
      </c>
      <c r="E438" t="s">
        <v>125</v>
      </c>
      <c r="F438" t="s">
        <v>261</v>
      </c>
      <c r="G438" t="s">
        <v>160</v>
      </c>
      <c r="H438" t="s">
        <v>161</v>
      </c>
      <c r="I438" t="s">
        <v>365</v>
      </c>
      <c r="J438">
        <v>34758</v>
      </c>
      <c r="K438">
        <v>387152</v>
      </c>
      <c r="L438">
        <v>29518200</v>
      </c>
      <c r="M438" t="str">
        <f t="shared" si="6"/>
        <v>Air Port</v>
      </c>
      <c r="N438" t="str">
        <f>TEXT(DATE(EXPORT[[#This Row],[Year]], A438, 1), "mmmm")</f>
        <v>March</v>
      </c>
    </row>
    <row r="439" spans="1:14" x14ac:dyDescent="0.3">
      <c r="A439">
        <v>3</v>
      </c>
      <c r="B439">
        <v>2018</v>
      </c>
      <c r="C439" t="s">
        <v>42</v>
      </c>
      <c r="D439">
        <v>33</v>
      </c>
      <c r="E439" t="s">
        <v>111</v>
      </c>
      <c r="F439" t="s">
        <v>251</v>
      </c>
      <c r="G439" t="s">
        <v>467</v>
      </c>
      <c r="H439" t="s">
        <v>468</v>
      </c>
      <c r="I439" t="s">
        <v>365</v>
      </c>
      <c r="J439">
        <v>27</v>
      </c>
      <c r="K439">
        <v>2405</v>
      </c>
      <c r="L439">
        <v>156406</v>
      </c>
      <c r="M439" t="str">
        <f t="shared" si="6"/>
        <v>Air Port</v>
      </c>
      <c r="N439" t="str">
        <f>TEXT(DATE(EXPORT[[#This Row],[Year]], A439, 1), "mmmm")</f>
        <v>March</v>
      </c>
    </row>
    <row r="440" spans="1:14" x14ac:dyDescent="0.3">
      <c r="A440">
        <v>8</v>
      </c>
      <c r="B440">
        <v>2018</v>
      </c>
      <c r="C440" t="s">
        <v>58</v>
      </c>
      <c r="D440">
        <v>27</v>
      </c>
      <c r="E440" t="s">
        <v>59</v>
      </c>
      <c r="F440" t="s">
        <v>44</v>
      </c>
      <c r="G440" t="s">
        <v>480</v>
      </c>
      <c r="H440" t="s">
        <v>481</v>
      </c>
      <c r="I440" t="s">
        <v>365</v>
      </c>
      <c r="J440">
        <v>445510</v>
      </c>
      <c r="K440">
        <v>630548</v>
      </c>
      <c r="L440">
        <v>43852437</v>
      </c>
      <c r="M440" t="str">
        <f t="shared" si="6"/>
        <v>Sea Port</v>
      </c>
      <c r="N440" t="str">
        <f>TEXT(DATE(EXPORT[[#This Row],[Year]], A440, 1), "mmmm")</f>
        <v>August</v>
      </c>
    </row>
    <row r="441" spans="1:14" x14ac:dyDescent="0.3">
      <c r="A441">
        <v>6</v>
      </c>
      <c r="B441">
        <v>2021</v>
      </c>
      <c r="C441" t="s">
        <v>28</v>
      </c>
      <c r="D441">
        <v>29</v>
      </c>
      <c r="E441" t="s">
        <v>29</v>
      </c>
      <c r="F441" t="s">
        <v>190</v>
      </c>
      <c r="G441" t="s">
        <v>444</v>
      </c>
      <c r="H441" t="s">
        <v>445</v>
      </c>
      <c r="I441" t="s">
        <v>365</v>
      </c>
      <c r="J441">
        <v>34</v>
      </c>
      <c r="K441">
        <v>156</v>
      </c>
      <c r="L441">
        <v>11473</v>
      </c>
      <c r="M441" t="str">
        <f t="shared" si="6"/>
        <v>Sea Port</v>
      </c>
      <c r="N441" t="str">
        <f>TEXT(DATE(EXPORT[[#This Row],[Year]], A441, 1), "mmmm")</f>
        <v>June</v>
      </c>
    </row>
    <row r="442" spans="1:14" x14ac:dyDescent="0.3">
      <c r="A442">
        <v>3</v>
      </c>
      <c r="B442">
        <v>2021</v>
      </c>
      <c r="C442" t="s">
        <v>47</v>
      </c>
      <c r="D442">
        <v>7</v>
      </c>
      <c r="E442" t="s">
        <v>51</v>
      </c>
      <c r="F442" t="s">
        <v>194</v>
      </c>
      <c r="G442" t="s">
        <v>375</v>
      </c>
      <c r="H442" t="s">
        <v>376</v>
      </c>
      <c r="I442" t="s">
        <v>365</v>
      </c>
      <c r="J442">
        <v>1250</v>
      </c>
      <c r="K442">
        <v>14878</v>
      </c>
      <c r="L442">
        <v>1083000</v>
      </c>
      <c r="M442" t="str">
        <f t="shared" si="6"/>
        <v>ICD / Dry Port</v>
      </c>
      <c r="N442" t="str">
        <f>TEXT(DATE(EXPORT[[#This Row],[Year]], A442, 1), "mmmm")</f>
        <v>March</v>
      </c>
    </row>
    <row r="443" spans="1:14" x14ac:dyDescent="0.3">
      <c r="A443">
        <v>2</v>
      </c>
      <c r="B443">
        <v>2020</v>
      </c>
      <c r="C443" t="s">
        <v>58</v>
      </c>
      <c r="D443">
        <v>27</v>
      </c>
      <c r="E443" t="s">
        <v>59</v>
      </c>
      <c r="F443" t="s">
        <v>156</v>
      </c>
      <c r="G443" t="s">
        <v>438</v>
      </c>
      <c r="H443" t="s">
        <v>439</v>
      </c>
      <c r="I443" t="s">
        <v>365</v>
      </c>
      <c r="J443">
        <v>25136</v>
      </c>
      <c r="K443">
        <v>325404</v>
      </c>
      <c r="L443">
        <v>23262671</v>
      </c>
      <c r="M443" t="str">
        <f t="shared" si="6"/>
        <v>Sea Port</v>
      </c>
      <c r="N443" t="str">
        <f>TEXT(DATE(EXPORT[[#This Row],[Year]], A443, 1), "mmmm")</f>
        <v>February</v>
      </c>
    </row>
    <row r="444" spans="1:14" x14ac:dyDescent="0.3">
      <c r="A444">
        <v>11</v>
      </c>
      <c r="B444">
        <v>2021</v>
      </c>
      <c r="C444" t="s">
        <v>23</v>
      </c>
      <c r="D444">
        <v>24</v>
      </c>
      <c r="E444" t="s">
        <v>24</v>
      </c>
      <c r="F444" t="s">
        <v>105</v>
      </c>
      <c r="G444" t="s">
        <v>470</v>
      </c>
      <c r="H444" t="s">
        <v>471</v>
      </c>
      <c r="I444" t="s">
        <v>365</v>
      </c>
      <c r="J444">
        <v>22962</v>
      </c>
      <c r="K444">
        <v>79952</v>
      </c>
      <c r="L444">
        <v>5956121</v>
      </c>
      <c r="M444" t="str">
        <f t="shared" si="6"/>
        <v>Other</v>
      </c>
      <c r="N444" t="str">
        <f>TEXT(DATE(EXPORT[[#This Row],[Year]], A444, 1), "mmmm")</f>
        <v>November</v>
      </c>
    </row>
    <row r="445" spans="1:14" x14ac:dyDescent="0.3">
      <c r="A445">
        <v>12</v>
      </c>
      <c r="B445">
        <v>2020</v>
      </c>
      <c r="C445" t="s">
        <v>275</v>
      </c>
      <c r="D445">
        <v>28</v>
      </c>
      <c r="E445" t="s">
        <v>483</v>
      </c>
      <c r="F445" t="s">
        <v>412</v>
      </c>
      <c r="G445" t="s">
        <v>457</v>
      </c>
      <c r="H445" t="s">
        <v>458</v>
      </c>
      <c r="I445" t="s">
        <v>365</v>
      </c>
      <c r="J445">
        <v>277000</v>
      </c>
      <c r="K445">
        <v>56226</v>
      </c>
      <c r="L445">
        <v>4137906</v>
      </c>
      <c r="M445" t="str">
        <f t="shared" si="6"/>
        <v>Other</v>
      </c>
      <c r="N445" t="str">
        <f>TEXT(DATE(EXPORT[[#This Row],[Year]], A445, 1), "mmmm")</f>
        <v>December</v>
      </c>
    </row>
    <row r="446" spans="1:14" x14ac:dyDescent="0.3">
      <c r="A446">
        <v>4</v>
      </c>
      <c r="B446">
        <v>2020</v>
      </c>
      <c r="C446" t="s">
        <v>79</v>
      </c>
      <c r="D446">
        <v>9</v>
      </c>
      <c r="E446" t="s">
        <v>189</v>
      </c>
      <c r="F446" t="s">
        <v>145</v>
      </c>
      <c r="G446" t="s">
        <v>480</v>
      </c>
      <c r="H446" t="s">
        <v>481</v>
      </c>
      <c r="I446" t="s">
        <v>365</v>
      </c>
      <c r="J446">
        <v>100</v>
      </c>
      <c r="K446">
        <v>204</v>
      </c>
      <c r="L446">
        <v>15534</v>
      </c>
      <c r="M446" t="str">
        <f t="shared" si="6"/>
        <v>Other</v>
      </c>
      <c r="N446" t="str">
        <f>TEXT(DATE(EXPORT[[#This Row],[Year]], A446, 1), "mmmm")</f>
        <v>April</v>
      </c>
    </row>
    <row r="447" spans="1:14" x14ac:dyDescent="0.3">
      <c r="A447">
        <v>2</v>
      </c>
      <c r="B447">
        <v>2023</v>
      </c>
      <c r="C447" t="s">
        <v>58</v>
      </c>
      <c r="D447">
        <v>27</v>
      </c>
      <c r="E447" t="s">
        <v>125</v>
      </c>
      <c r="F447" t="s">
        <v>149</v>
      </c>
      <c r="G447" t="s">
        <v>160</v>
      </c>
      <c r="H447" t="s">
        <v>161</v>
      </c>
      <c r="I447" t="s">
        <v>365</v>
      </c>
      <c r="J447">
        <v>20</v>
      </c>
      <c r="K447">
        <v>134</v>
      </c>
      <c r="L447">
        <v>11079</v>
      </c>
      <c r="M447" t="str">
        <f t="shared" si="6"/>
        <v>Air Port</v>
      </c>
      <c r="N447" t="str">
        <f>TEXT(DATE(EXPORT[[#This Row],[Year]], A447, 1), "mmmm")</f>
        <v>February</v>
      </c>
    </row>
    <row r="448" spans="1:14" x14ac:dyDescent="0.3">
      <c r="A448">
        <v>8</v>
      </c>
      <c r="B448">
        <v>2021</v>
      </c>
      <c r="C448" t="s">
        <v>58</v>
      </c>
      <c r="D448">
        <v>27</v>
      </c>
      <c r="E448" t="s">
        <v>59</v>
      </c>
      <c r="F448" t="s">
        <v>288</v>
      </c>
      <c r="G448" t="s">
        <v>438</v>
      </c>
      <c r="H448" t="s">
        <v>439</v>
      </c>
      <c r="I448" t="s">
        <v>365</v>
      </c>
      <c r="J448">
        <v>3477</v>
      </c>
      <c r="K448">
        <v>196759</v>
      </c>
      <c r="L448">
        <v>14596502</v>
      </c>
      <c r="M448" t="str">
        <f t="shared" si="6"/>
        <v>Sea Port</v>
      </c>
      <c r="N448" t="str">
        <f>TEXT(DATE(EXPORT[[#This Row],[Year]], A448, 1), "mmmm")</f>
        <v>August</v>
      </c>
    </row>
    <row r="449" spans="1:14" x14ac:dyDescent="0.3">
      <c r="A449">
        <v>1</v>
      </c>
      <c r="B449">
        <v>2018</v>
      </c>
      <c r="C449" t="s">
        <v>23</v>
      </c>
      <c r="D449">
        <v>24</v>
      </c>
      <c r="E449" t="s">
        <v>218</v>
      </c>
      <c r="F449" t="s">
        <v>172</v>
      </c>
      <c r="G449" t="s">
        <v>444</v>
      </c>
      <c r="H449" t="s">
        <v>445</v>
      </c>
      <c r="I449" t="s">
        <v>365</v>
      </c>
      <c r="J449">
        <v>2020</v>
      </c>
      <c r="K449">
        <v>11997</v>
      </c>
      <c r="L449">
        <v>763471</v>
      </c>
      <c r="M449" t="str">
        <f t="shared" si="6"/>
        <v>Air Port</v>
      </c>
      <c r="N449" t="str">
        <f>TEXT(DATE(EXPORT[[#This Row],[Year]], A449, 1), "mmmm")</f>
        <v>January</v>
      </c>
    </row>
    <row r="450" spans="1:14" x14ac:dyDescent="0.3">
      <c r="A450">
        <v>5</v>
      </c>
      <c r="B450">
        <v>2023</v>
      </c>
      <c r="C450" t="s">
        <v>23</v>
      </c>
      <c r="D450">
        <v>24</v>
      </c>
      <c r="E450" t="s">
        <v>38</v>
      </c>
      <c r="F450" t="s">
        <v>289</v>
      </c>
      <c r="G450" t="s">
        <v>123</v>
      </c>
      <c r="H450" t="s">
        <v>613</v>
      </c>
      <c r="I450" t="s">
        <v>365</v>
      </c>
      <c r="J450">
        <v>5</v>
      </c>
      <c r="K450">
        <v>147</v>
      </c>
      <c r="L450">
        <v>12132</v>
      </c>
      <c r="M450" t="str">
        <f t="shared" ref="M450:M501" si="7">IF(OR(ISNUMBER(SEARCH("ICD",E450)),ISNUMBER(SEARCH("Dry Port",E450))),"ICD / Dry Port", IF(OR(ISNUMBER(SEARCH("Sea",E450)),ISNUMBER(SEARCH("Port",E450))),"Sea Port", IF(OR(ISNUMBER(SEARCH("Air",E450)),ISNUMBER(SEARCH("Airport",E450))),"Air Port", IF(ISNUMBER(SEARCH("CFS",E450)),"CFS", IF(OR(ISNUMBER(SEARCH("SEZ",E450)),ISNUMBER(SEARCH("EPZ",E450)),ISNUMBER(SEARCH("FTWZ",E450)),ISNUMBER(SEARCH("City",E450)),ISNUMBER(SEARCH("Park",E450))),"SEZ / Industrial Zone", IF(OR(ISNUMBER(SEARCH("Land",E450)),ISNUMBER(SEARCH("LCS",E450)),ISNUMBER(SEARCH("Rly",E450))),"Land Port", "Other"))))))</f>
        <v>ICD / Dry Port</v>
      </c>
      <c r="N450" t="str">
        <f>TEXT(DATE(EXPORT[[#This Row],[Year]], A450, 1), "mmmm")</f>
        <v>May</v>
      </c>
    </row>
    <row r="451" spans="1:14" x14ac:dyDescent="0.3">
      <c r="A451">
        <v>2</v>
      </c>
      <c r="B451">
        <v>2020</v>
      </c>
      <c r="C451" t="s">
        <v>23</v>
      </c>
      <c r="D451">
        <v>24</v>
      </c>
      <c r="E451" t="s">
        <v>484</v>
      </c>
      <c r="F451" t="s">
        <v>344</v>
      </c>
      <c r="G451" t="s">
        <v>451</v>
      </c>
      <c r="H451" t="s">
        <v>452</v>
      </c>
      <c r="I451" t="s">
        <v>365</v>
      </c>
      <c r="J451">
        <v>7250</v>
      </c>
      <c r="K451">
        <v>34688</v>
      </c>
      <c r="L451">
        <v>2479761</v>
      </c>
      <c r="M451" t="str">
        <f t="shared" si="7"/>
        <v>SEZ / Industrial Zone</v>
      </c>
      <c r="N451" t="str">
        <f>TEXT(DATE(EXPORT[[#This Row],[Year]], A451, 1), "mmmm")</f>
        <v>February</v>
      </c>
    </row>
    <row r="452" spans="1:14" x14ac:dyDescent="0.3">
      <c r="A452">
        <v>7</v>
      </c>
      <c r="B452">
        <v>2023</v>
      </c>
      <c r="C452" t="s">
        <v>58</v>
      </c>
      <c r="D452">
        <v>27</v>
      </c>
      <c r="E452" t="s">
        <v>59</v>
      </c>
      <c r="F452" t="s">
        <v>134</v>
      </c>
      <c r="G452" t="s">
        <v>470</v>
      </c>
      <c r="H452" t="s">
        <v>471</v>
      </c>
      <c r="I452" t="s">
        <v>365</v>
      </c>
      <c r="J452">
        <v>84127</v>
      </c>
      <c r="K452">
        <v>850186</v>
      </c>
      <c r="L452">
        <v>69844423</v>
      </c>
      <c r="M452" t="str">
        <f t="shared" si="7"/>
        <v>Sea Port</v>
      </c>
      <c r="N452" t="str">
        <f>TEXT(DATE(EXPORT[[#This Row],[Year]], A452, 1), "mmmm")</f>
        <v>July</v>
      </c>
    </row>
    <row r="453" spans="1:14" x14ac:dyDescent="0.3">
      <c r="A453">
        <v>2</v>
      </c>
      <c r="B453">
        <v>2023</v>
      </c>
      <c r="C453" t="s">
        <v>23</v>
      </c>
      <c r="D453">
        <v>24</v>
      </c>
      <c r="E453" t="s">
        <v>38</v>
      </c>
      <c r="F453" t="s">
        <v>247</v>
      </c>
      <c r="G453" t="s">
        <v>160</v>
      </c>
      <c r="H453" t="s">
        <v>161</v>
      </c>
      <c r="I453" t="s">
        <v>365</v>
      </c>
      <c r="J453">
        <v>1963</v>
      </c>
      <c r="K453">
        <v>3686</v>
      </c>
      <c r="L453">
        <v>304505</v>
      </c>
      <c r="M453" t="str">
        <f t="shared" si="7"/>
        <v>ICD / Dry Port</v>
      </c>
      <c r="N453" t="str">
        <f>TEXT(DATE(EXPORT[[#This Row],[Year]], A453, 1), "mmmm")</f>
        <v>February</v>
      </c>
    </row>
    <row r="454" spans="1:14" x14ac:dyDescent="0.3">
      <c r="A454">
        <v>8</v>
      </c>
      <c r="B454">
        <v>2018</v>
      </c>
      <c r="C454" t="s">
        <v>28</v>
      </c>
      <c r="D454">
        <v>29</v>
      </c>
      <c r="E454" t="s">
        <v>236</v>
      </c>
      <c r="F454" t="s">
        <v>142</v>
      </c>
      <c r="G454" t="s">
        <v>457</v>
      </c>
      <c r="H454" t="s">
        <v>458</v>
      </c>
      <c r="I454" t="s">
        <v>365</v>
      </c>
      <c r="J454">
        <v>104115</v>
      </c>
      <c r="K454">
        <v>53590</v>
      </c>
      <c r="L454">
        <v>3727023</v>
      </c>
      <c r="M454" t="str">
        <f t="shared" si="7"/>
        <v>ICD / Dry Port</v>
      </c>
      <c r="N454" t="str">
        <f>TEXT(DATE(EXPORT[[#This Row],[Year]], A454, 1), "mmmm")</f>
        <v>August</v>
      </c>
    </row>
    <row r="455" spans="1:14" x14ac:dyDescent="0.3">
      <c r="A455">
        <v>5</v>
      </c>
      <c r="B455">
        <v>2022</v>
      </c>
      <c r="C455" t="s">
        <v>23</v>
      </c>
      <c r="D455">
        <v>24</v>
      </c>
      <c r="E455" t="s">
        <v>485</v>
      </c>
      <c r="F455" t="s">
        <v>98</v>
      </c>
      <c r="G455" t="s">
        <v>460</v>
      </c>
      <c r="H455" t="s">
        <v>461</v>
      </c>
      <c r="I455" t="s">
        <v>365</v>
      </c>
      <c r="J455">
        <v>20000</v>
      </c>
      <c r="K455">
        <v>124243</v>
      </c>
      <c r="L455">
        <v>9606348</v>
      </c>
      <c r="M455" t="str">
        <f t="shared" si="7"/>
        <v>Other</v>
      </c>
      <c r="N455" t="str">
        <f>TEXT(DATE(EXPORT[[#This Row],[Year]], A455, 1), "mmmm")</f>
        <v>May</v>
      </c>
    </row>
    <row r="456" spans="1:14" x14ac:dyDescent="0.3">
      <c r="A456">
        <v>9</v>
      </c>
      <c r="B456">
        <v>2022</v>
      </c>
      <c r="C456" t="s">
        <v>23</v>
      </c>
      <c r="D456">
        <v>24</v>
      </c>
      <c r="E456" t="s">
        <v>486</v>
      </c>
      <c r="F456" t="s">
        <v>242</v>
      </c>
      <c r="G456" t="s">
        <v>442</v>
      </c>
      <c r="H456" t="s">
        <v>443</v>
      </c>
      <c r="I456" t="s">
        <v>365</v>
      </c>
      <c r="J456">
        <v>50000</v>
      </c>
      <c r="K456">
        <v>162997</v>
      </c>
      <c r="L456">
        <v>13077490</v>
      </c>
      <c r="M456" t="str">
        <f t="shared" si="7"/>
        <v>Other</v>
      </c>
      <c r="N456" t="str">
        <f>TEXT(DATE(EXPORT[[#This Row],[Year]], A456, 1), "mmmm")</f>
        <v>September</v>
      </c>
    </row>
    <row r="457" spans="1:14" x14ac:dyDescent="0.3">
      <c r="A457">
        <v>6</v>
      </c>
      <c r="B457">
        <v>2021</v>
      </c>
      <c r="C457" t="s">
        <v>79</v>
      </c>
      <c r="D457">
        <v>9</v>
      </c>
      <c r="E457" t="s">
        <v>189</v>
      </c>
      <c r="F457" t="s">
        <v>243</v>
      </c>
      <c r="G457" t="s">
        <v>438</v>
      </c>
      <c r="H457" t="s">
        <v>439</v>
      </c>
      <c r="I457" t="s">
        <v>365</v>
      </c>
      <c r="J457">
        <v>7482</v>
      </c>
      <c r="K457">
        <v>84184</v>
      </c>
      <c r="L457">
        <v>6192437</v>
      </c>
      <c r="M457" t="str">
        <f t="shared" si="7"/>
        <v>Other</v>
      </c>
      <c r="N457" t="str">
        <f>TEXT(DATE(EXPORT[[#This Row],[Year]], A457, 1), "mmmm")</f>
        <v>June</v>
      </c>
    </row>
    <row r="458" spans="1:14" x14ac:dyDescent="0.3">
      <c r="A458">
        <v>1</v>
      </c>
      <c r="B458">
        <v>2021</v>
      </c>
      <c r="C458" t="s">
        <v>137</v>
      </c>
      <c r="D458">
        <v>36</v>
      </c>
      <c r="E458" t="s">
        <v>138</v>
      </c>
      <c r="F458" t="s">
        <v>294</v>
      </c>
      <c r="G458" t="s">
        <v>438</v>
      </c>
      <c r="H458" t="s">
        <v>439</v>
      </c>
      <c r="I458" t="s">
        <v>365</v>
      </c>
      <c r="J458">
        <v>108150</v>
      </c>
      <c r="K458">
        <v>702454</v>
      </c>
      <c r="L458">
        <v>51356013</v>
      </c>
      <c r="M458" t="str">
        <f t="shared" si="7"/>
        <v>ICD / Dry Port</v>
      </c>
      <c r="N458" t="str">
        <f>TEXT(DATE(EXPORT[[#This Row],[Year]], A458, 1), "mmmm")</f>
        <v>January</v>
      </c>
    </row>
    <row r="459" spans="1:14" x14ac:dyDescent="0.3">
      <c r="A459">
        <v>9</v>
      </c>
      <c r="B459">
        <v>2020</v>
      </c>
      <c r="C459" t="s">
        <v>47</v>
      </c>
      <c r="D459">
        <v>7</v>
      </c>
      <c r="E459" t="s">
        <v>51</v>
      </c>
      <c r="F459" t="s">
        <v>237</v>
      </c>
      <c r="G459" t="s">
        <v>487</v>
      </c>
      <c r="H459" t="s">
        <v>488</v>
      </c>
      <c r="I459" t="s">
        <v>365</v>
      </c>
      <c r="J459">
        <v>2700</v>
      </c>
      <c r="K459">
        <v>1776</v>
      </c>
      <c r="L459">
        <v>130505</v>
      </c>
      <c r="M459" t="str">
        <f t="shared" si="7"/>
        <v>ICD / Dry Port</v>
      </c>
      <c r="N459" t="str">
        <f>TEXT(DATE(EXPORT[[#This Row],[Year]], A459, 1), "mmmm")</f>
        <v>September</v>
      </c>
    </row>
    <row r="460" spans="1:14" x14ac:dyDescent="0.3">
      <c r="A460">
        <v>11</v>
      </c>
      <c r="B460">
        <v>2021</v>
      </c>
      <c r="C460" t="s">
        <v>73</v>
      </c>
      <c r="D460">
        <v>3</v>
      </c>
      <c r="E460" t="s">
        <v>314</v>
      </c>
      <c r="F460" t="s">
        <v>489</v>
      </c>
      <c r="G460" t="s">
        <v>438</v>
      </c>
      <c r="H460" t="s">
        <v>439</v>
      </c>
      <c r="I460" t="s">
        <v>365</v>
      </c>
      <c r="J460">
        <v>27084</v>
      </c>
      <c r="K460">
        <v>54211</v>
      </c>
      <c r="L460">
        <v>4038517</v>
      </c>
      <c r="M460" t="str">
        <f t="shared" si="7"/>
        <v>ICD / Dry Port</v>
      </c>
      <c r="N460" t="str">
        <f>TEXT(DATE(EXPORT[[#This Row],[Year]], A460, 1), "mmmm")</f>
        <v>November</v>
      </c>
    </row>
    <row r="461" spans="1:14" x14ac:dyDescent="0.3">
      <c r="A461">
        <v>1</v>
      </c>
      <c r="B461">
        <v>2018</v>
      </c>
      <c r="C461" t="s">
        <v>58</v>
      </c>
      <c r="D461">
        <v>27</v>
      </c>
      <c r="E461" t="s">
        <v>59</v>
      </c>
      <c r="F461" t="s">
        <v>198</v>
      </c>
      <c r="G461" t="s">
        <v>438</v>
      </c>
      <c r="H461" t="s">
        <v>439</v>
      </c>
      <c r="I461" t="s">
        <v>365</v>
      </c>
      <c r="J461">
        <v>12458</v>
      </c>
      <c r="K461">
        <v>242640</v>
      </c>
      <c r="L461">
        <v>15440841</v>
      </c>
      <c r="M461" t="str">
        <f t="shared" si="7"/>
        <v>Sea Port</v>
      </c>
      <c r="N461" t="str">
        <f>TEXT(DATE(EXPORT[[#This Row],[Year]], A461, 1), "mmmm")</f>
        <v>January</v>
      </c>
    </row>
    <row r="462" spans="1:14" x14ac:dyDescent="0.3">
      <c r="A462">
        <v>11</v>
      </c>
      <c r="B462">
        <v>2019</v>
      </c>
      <c r="C462" t="s">
        <v>42</v>
      </c>
      <c r="D462">
        <v>33</v>
      </c>
      <c r="E462" t="s">
        <v>43</v>
      </c>
      <c r="F462" t="s">
        <v>153</v>
      </c>
      <c r="G462" t="s">
        <v>490</v>
      </c>
      <c r="H462" t="s">
        <v>491</v>
      </c>
      <c r="I462" t="s">
        <v>365</v>
      </c>
      <c r="J462">
        <v>408000</v>
      </c>
      <c r="K462">
        <v>83831</v>
      </c>
      <c r="L462">
        <v>5989897</v>
      </c>
      <c r="M462" t="str">
        <f t="shared" si="7"/>
        <v>Sea Port</v>
      </c>
      <c r="N462" t="str">
        <f>TEXT(DATE(EXPORT[[#This Row],[Year]], A462, 1), "mmmm")</f>
        <v>November</v>
      </c>
    </row>
    <row r="463" spans="1:14" x14ac:dyDescent="0.3">
      <c r="A463">
        <v>5</v>
      </c>
      <c r="B463">
        <v>2023</v>
      </c>
      <c r="C463" t="s">
        <v>58</v>
      </c>
      <c r="D463">
        <v>27</v>
      </c>
      <c r="E463" t="s">
        <v>59</v>
      </c>
      <c r="F463" t="s">
        <v>459</v>
      </c>
      <c r="G463" t="s">
        <v>460</v>
      </c>
      <c r="H463" t="s">
        <v>461</v>
      </c>
      <c r="I463" t="s">
        <v>365</v>
      </c>
      <c r="J463">
        <v>26498</v>
      </c>
      <c r="K463">
        <v>339653</v>
      </c>
      <c r="L463">
        <v>27968148</v>
      </c>
      <c r="M463" t="str">
        <f t="shared" si="7"/>
        <v>Sea Port</v>
      </c>
      <c r="N463" t="str">
        <f>TEXT(DATE(EXPORT[[#This Row],[Year]], A463, 1), "mmmm")</f>
        <v>May</v>
      </c>
    </row>
    <row r="464" spans="1:14" x14ac:dyDescent="0.3">
      <c r="A464">
        <v>4</v>
      </c>
      <c r="B464">
        <v>2023</v>
      </c>
      <c r="C464" t="s">
        <v>58</v>
      </c>
      <c r="D464">
        <v>27</v>
      </c>
      <c r="E464" t="s">
        <v>59</v>
      </c>
      <c r="F464" t="s">
        <v>261</v>
      </c>
      <c r="G464" t="s">
        <v>160</v>
      </c>
      <c r="H464" t="s">
        <v>161</v>
      </c>
      <c r="I464" t="s">
        <v>365</v>
      </c>
      <c r="J464">
        <v>468845</v>
      </c>
      <c r="K464">
        <v>1843000</v>
      </c>
      <c r="L464">
        <v>151164313</v>
      </c>
      <c r="M464" t="str">
        <f t="shared" si="7"/>
        <v>Sea Port</v>
      </c>
      <c r="N464" t="str">
        <f>TEXT(DATE(EXPORT[[#This Row],[Year]], A464, 1), "mmmm")</f>
        <v>April</v>
      </c>
    </row>
    <row r="465" spans="1:14" x14ac:dyDescent="0.3">
      <c r="A465">
        <v>9</v>
      </c>
      <c r="B465">
        <v>2021</v>
      </c>
      <c r="C465" t="s">
        <v>23</v>
      </c>
      <c r="D465">
        <v>24</v>
      </c>
      <c r="E465" t="s">
        <v>24</v>
      </c>
      <c r="F465" t="s">
        <v>94</v>
      </c>
      <c r="G465" t="s">
        <v>444</v>
      </c>
      <c r="H465" t="s">
        <v>445</v>
      </c>
      <c r="I465" t="s">
        <v>365</v>
      </c>
      <c r="J465">
        <v>144</v>
      </c>
      <c r="K465">
        <v>899</v>
      </c>
      <c r="L465">
        <v>66120</v>
      </c>
      <c r="M465" t="str">
        <f t="shared" si="7"/>
        <v>Other</v>
      </c>
      <c r="N465" t="str">
        <f>TEXT(DATE(EXPORT[[#This Row],[Year]], A465, 1), "mmmm")</f>
        <v>September</v>
      </c>
    </row>
    <row r="466" spans="1:14" x14ac:dyDescent="0.3">
      <c r="A466">
        <v>5</v>
      </c>
      <c r="B466">
        <v>2020</v>
      </c>
      <c r="C466" t="s">
        <v>58</v>
      </c>
      <c r="D466">
        <v>27</v>
      </c>
      <c r="E466" t="s">
        <v>290</v>
      </c>
      <c r="F466" t="s">
        <v>193</v>
      </c>
      <c r="G466" t="s">
        <v>436</v>
      </c>
      <c r="H466" t="s">
        <v>437</v>
      </c>
      <c r="I466" t="s">
        <v>365</v>
      </c>
      <c r="J466">
        <v>125</v>
      </c>
      <c r="K466">
        <v>1807</v>
      </c>
      <c r="L466">
        <v>136744</v>
      </c>
      <c r="M466" t="str">
        <f t="shared" si="7"/>
        <v>SEZ / Industrial Zone</v>
      </c>
      <c r="N466" t="str">
        <f>TEXT(DATE(EXPORT[[#This Row],[Year]], A466, 1), "mmmm")</f>
        <v>May</v>
      </c>
    </row>
    <row r="467" spans="1:14" x14ac:dyDescent="0.3">
      <c r="A467">
        <v>5</v>
      </c>
      <c r="B467">
        <v>2021</v>
      </c>
      <c r="C467" t="s">
        <v>58</v>
      </c>
      <c r="D467">
        <v>27</v>
      </c>
      <c r="E467" t="s">
        <v>129</v>
      </c>
      <c r="F467" t="s">
        <v>68</v>
      </c>
      <c r="G467" t="s">
        <v>121</v>
      </c>
      <c r="H467" t="s">
        <v>122</v>
      </c>
      <c r="I467" t="s">
        <v>365</v>
      </c>
      <c r="J467">
        <v>6</v>
      </c>
      <c r="K467">
        <v>223</v>
      </c>
      <c r="L467">
        <v>16315</v>
      </c>
      <c r="M467" t="str">
        <f t="shared" si="7"/>
        <v>ICD / Dry Port</v>
      </c>
      <c r="N467" t="str">
        <f>TEXT(DATE(EXPORT[[#This Row],[Year]], A467, 1), "mmmm")</f>
        <v>May</v>
      </c>
    </row>
    <row r="468" spans="1:14" x14ac:dyDescent="0.3">
      <c r="A468">
        <v>2</v>
      </c>
      <c r="B468">
        <v>2019</v>
      </c>
      <c r="C468" t="s">
        <v>58</v>
      </c>
      <c r="D468">
        <v>27</v>
      </c>
      <c r="E468" t="s">
        <v>125</v>
      </c>
      <c r="F468" t="s">
        <v>394</v>
      </c>
      <c r="G468" t="s">
        <v>375</v>
      </c>
      <c r="H468" t="s">
        <v>376</v>
      </c>
      <c r="I468" t="s">
        <v>365</v>
      </c>
      <c r="J468">
        <v>200</v>
      </c>
      <c r="K468">
        <v>52799</v>
      </c>
      <c r="L468">
        <v>3760445</v>
      </c>
      <c r="M468" t="str">
        <f t="shared" si="7"/>
        <v>Air Port</v>
      </c>
      <c r="N468" t="str">
        <f>TEXT(DATE(EXPORT[[#This Row],[Year]], A468, 1), "mmmm")</f>
        <v>February</v>
      </c>
    </row>
    <row r="469" spans="1:14" x14ac:dyDescent="0.3">
      <c r="A469">
        <v>7</v>
      </c>
      <c r="B469">
        <v>2023</v>
      </c>
      <c r="C469" t="s">
        <v>18</v>
      </c>
      <c r="D469">
        <v>6</v>
      </c>
      <c r="E469" t="s">
        <v>97</v>
      </c>
      <c r="F469" t="s">
        <v>261</v>
      </c>
      <c r="G469" t="s">
        <v>492</v>
      </c>
      <c r="H469" t="s">
        <v>493</v>
      </c>
      <c r="I469" t="s">
        <v>365</v>
      </c>
      <c r="J469">
        <v>1317</v>
      </c>
      <c r="K469">
        <v>5286</v>
      </c>
      <c r="L469">
        <v>434291</v>
      </c>
      <c r="M469" t="str">
        <f t="shared" si="7"/>
        <v>ICD / Dry Port</v>
      </c>
      <c r="N469" t="str">
        <f>TEXT(DATE(EXPORT[[#This Row],[Year]], A469, 1), "mmmm")</f>
        <v>July</v>
      </c>
    </row>
    <row r="470" spans="1:14" x14ac:dyDescent="0.3">
      <c r="A470">
        <v>2</v>
      </c>
      <c r="B470">
        <v>2023</v>
      </c>
      <c r="C470" t="s">
        <v>79</v>
      </c>
      <c r="D470">
        <v>9</v>
      </c>
      <c r="E470" t="s">
        <v>213</v>
      </c>
      <c r="F470" t="s">
        <v>241</v>
      </c>
      <c r="G470" t="s">
        <v>494</v>
      </c>
      <c r="H470" t="s">
        <v>495</v>
      </c>
      <c r="I470" t="s">
        <v>365</v>
      </c>
      <c r="J470">
        <v>5956</v>
      </c>
      <c r="K470">
        <v>6275</v>
      </c>
      <c r="L470">
        <v>518345</v>
      </c>
      <c r="M470" t="str">
        <f t="shared" si="7"/>
        <v>SEZ / Industrial Zone</v>
      </c>
      <c r="N470" t="str">
        <f>TEXT(DATE(EXPORT[[#This Row],[Year]], A470, 1), "mmmm")</f>
        <v>February</v>
      </c>
    </row>
    <row r="471" spans="1:14" x14ac:dyDescent="0.3">
      <c r="A471">
        <v>9</v>
      </c>
      <c r="B471">
        <v>2022</v>
      </c>
      <c r="C471" t="s">
        <v>58</v>
      </c>
      <c r="D471">
        <v>27</v>
      </c>
      <c r="E471" t="s">
        <v>125</v>
      </c>
      <c r="F471" t="s">
        <v>496</v>
      </c>
      <c r="G471" t="s">
        <v>438</v>
      </c>
      <c r="H471" t="s">
        <v>439</v>
      </c>
      <c r="I471" t="s">
        <v>365</v>
      </c>
      <c r="J471">
        <v>136</v>
      </c>
      <c r="K471">
        <v>10516</v>
      </c>
      <c r="L471">
        <v>843728</v>
      </c>
      <c r="M471" t="str">
        <f t="shared" si="7"/>
        <v>Air Port</v>
      </c>
      <c r="N471" t="str">
        <f>TEXT(DATE(EXPORT[[#This Row],[Year]], A471, 1), "mmmm")</f>
        <v>September</v>
      </c>
    </row>
    <row r="472" spans="1:14" x14ac:dyDescent="0.3">
      <c r="A472">
        <v>4</v>
      </c>
      <c r="B472">
        <v>2020</v>
      </c>
      <c r="C472" t="s">
        <v>28</v>
      </c>
      <c r="D472">
        <v>29</v>
      </c>
      <c r="E472" t="s">
        <v>236</v>
      </c>
      <c r="F472" t="s">
        <v>241</v>
      </c>
      <c r="G472" t="s">
        <v>363</v>
      </c>
      <c r="H472" t="s">
        <v>364</v>
      </c>
      <c r="I472" t="s">
        <v>365</v>
      </c>
      <c r="J472">
        <v>190</v>
      </c>
      <c r="K472">
        <v>3039</v>
      </c>
      <c r="L472">
        <v>231708</v>
      </c>
      <c r="M472" t="str">
        <f t="shared" si="7"/>
        <v>ICD / Dry Port</v>
      </c>
      <c r="N472" t="str">
        <f>TEXT(DATE(EXPORT[[#This Row],[Year]], A472, 1), "mmmm")</f>
        <v>April</v>
      </c>
    </row>
    <row r="473" spans="1:14" x14ac:dyDescent="0.3">
      <c r="A473">
        <v>2</v>
      </c>
      <c r="B473">
        <v>2019</v>
      </c>
      <c r="C473" t="s">
        <v>58</v>
      </c>
      <c r="D473">
        <v>27</v>
      </c>
      <c r="E473" t="s">
        <v>125</v>
      </c>
      <c r="F473" t="s">
        <v>149</v>
      </c>
      <c r="G473" t="s">
        <v>453</v>
      </c>
      <c r="H473" t="s">
        <v>454</v>
      </c>
      <c r="I473" t="s">
        <v>365</v>
      </c>
      <c r="J473">
        <v>63</v>
      </c>
      <c r="K473">
        <v>952</v>
      </c>
      <c r="L473">
        <v>67814</v>
      </c>
      <c r="M473" t="str">
        <f t="shared" si="7"/>
        <v>Air Port</v>
      </c>
      <c r="N473" t="str">
        <f>TEXT(DATE(EXPORT[[#This Row],[Year]], A473, 1), "mmmm")</f>
        <v>February</v>
      </c>
    </row>
    <row r="474" spans="1:14" x14ac:dyDescent="0.3">
      <c r="A474">
        <v>9</v>
      </c>
      <c r="B474">
        <v>2020</v>
      </c>
      <c r="C474" t="s">
        <v>58</v>
      </c>
      <c r="D474">
        <v>27</v>
      </c>
      <c r="E474" t="s">
        <v>59</v>
      </c>
      <c r="F474" t="s">
        <v>615</v>
      </c>
      <c r="G474" t="s">
        <v>492</v>
      </c>
      <c r="H474" t="s">
        <v>493</v>
      </c>
      <c r="I474" t="s">
        <v>365</v>
      </c>
      <c r="J474">
        <v>4</v>
      </c>
      <c r="K474">
        <v>46</v>
      </c>
      <c r="L474">
        <v>3413</v>
      </c>
      <c r="M474" t="str">
        <f t="shared" si="7"/>
        <v>Sea Port</v>
      </c>
      <c r="N474" t="str">
        <f>TEXT(DATE(EXPORT[[#This Row],[Year]], A474, 1), "mmmm")</f>
        <v>September</v>
      </c>
    </row>
    <row r="475" spans="1:14" x14ac:dyDescent="0.3">
      <c r="A475">
        <v>4</v>
      </c>
      <c r="B475">
        <v>2022</v>
      </c>
      <c r="C475" t="s">
        <v>23</v>
      </c>
      <c r="D475">
        <v>24</v>
      </c>
      <c r="E475" t="s">
        <v>38</v>
      </c>
      <c r="F475" t="s">
        <v>105</v>
      </c>
      <c r="G475" t="s">
        <v>438</v>
      </c>
      <c r="H475" t="s">
        <v>439</v>
      </c>
      <c r="I475" t="s">
        <v>365</v>
      </c>
      <c r="J475">
        <v>4665</v>
      </c>
      <c r="K475">
        <v>39347</v>
      </c>
      <c r="L475">
        <v>2996966</v>
      </c>
      <c r="M475" t="str">
        <f t="shared" si="7"/>
        <v>ICD / Dry Port</v>
      </c>
      <c r="N475" t="str">
        <f>TEXT(DATE(EXPORT[[#This Row],[Year]], A475, 1), "mmmm")</f>
        <v>April</v>
      </c>
    </row>
    <row r="476" spans="1:14" x14ac:dyDescent="0.3">
      <c r="A476">
        <v>10</v>
      </c>
      <c r="B476">
        <v>2021</v>
      </c>
      <c r="C476" t="s">
        <v>23</v>
      </c>
      <c r="D476">
        <v>24</v>
      </c>
      <c r="E476" t="s">
        <v>218</v>
      </c>
      <c r="F476" t="s">
        <v>256</v>
      </c>
      <c r="G476" t="s">
        <v>460</v>
      </c>
      <c r="H476" t="s">
        <v>461</v>
      </c>
      <c r="I476" t="s">
        <v>365</v>
      </c>
      <c r="J476">
        <v>110</v>
      </c>
      <c r="K476">
        <v>3988</v>
      </c>
      <c r="L476">
        <v>298764</v>
      </c>
      <c r="M476" t="str">
        <f t="shared" si="7"/>
        <v>Air Port</v>
      </c>
      <c r="N476" t="str">
        <f>TEXT(DATE(EXPORT[[#This Row],[Year]], A476, 1), "mmmm")</f>
        <v>October</v>
      </c>
    </row>
    <row r="477" spans="1:14" x14ac:dyDescent="0.3">
      <c r="A477">
        <v>7</v>
      </c>
      <c r="B477">
        <v>2021</v>
      </c>
      <c r="C477" t="s">
        <v>137</v>
      </c>
      <c r="D477">
        <v>36</v>
      </c>
      <c r="E477" t="s">
        <v>138</v>
      </c>
      <c r="F477" t="s">
        <v>105</v>
      </c>
      <c r="G477" t="s">
        <v>476</v>
      </c>
      <c r="H477" t="s">
        <v>477</v>
      </c>
      <c r="I477" t="s">
        <v>365</v>
      </c>
      <c r="J477">
        <v>831</v>
      </c>
      <c r="K477">
        <v>4709</v>
      </c>
      <c r="L477">
        <v>350974</v>
      </c>
      <c r="M477" t="str">
        <f t="shared" si="7"/>
        <v>ICD / Dry Port</v>
      </c>
      <c r="N477" t="str">
        <f>TEXT(DATE(EXPORT[[#This Row],[Year]], A477, 1), "mmmm")</f>
        <v>July</v>
      </c>
    </row>
    <row r="478" spans="1:14" x14ac:dyDescent="0.3">
      <c r="A478">
        <v>8</v>
      </c>
      <c r="B478">
        <v>2021</v>
      </c>
      <c r="C478" t="s">
        <v>47</v>
      </c>
      <c r="D478">
        <v>7</v>
      </c>
      <c r="E478" t="s">
        <v>48</v>
      </c>
      <c r="F478" t="s">
        <v>102</v>
      </c>
      <c r="G478" t="s">
        <v>494</v>
      </c>
      <c r="H478" t="s">
        <v>495</v>
      </c>
      <c r="I478" t="s">
        <v>365</v>
      </c>
      <c r="J478">
        <v>4400</v>
      </c>
      <c r="K478">
        <v>5074</v>
      </c>
      <c r="L478">
        <v>376380</v>
      </c>
      <c r="M478" t="str">
        <f t="shared" si="7"/>
        <v>Air Port</v>
      </c>
      <c r="N478" t="str">
        <f>TEXT(DATE(EXPORT[[#This Row],[Year]], A478, 1), "mmmm")</f>
        <v>August</v>
      </c>
    </row>
    <row r="479" spans="1:14" x14ac:dyDescent="0.3">
      <c r="A479">
        <v>4</v>
      </c>
      <c r="B479">
        <v>2023</v>
      </c>
      <c r="C479" t="s">
        <v>28</v>
      </c>
      <c r="D479">
        <v>29</v>
      </c>
      <c r="E479" t="s">
        <v>236</v>
      </c>
      <c r="F479" t="s">
        <v>76</v>
      </c>
      <c r="G479" t="s">
        <v>480</v>
      </c>
      <c r="H479" t="s">
        <v>481</v>
      </c>
      <c r="I479" t="s">
        <v>365</v>
      </c>
      <c r="J479">
        <v>90310</v>
      </c>
      <c r="K479">
        <v>325480</v>
      </c>
      <c r="L479">
        <v>26696100</v>
      </c>
      <c r="M479" t="str">
        <f t="shared" si="7"/>
        <v>ICD / Dry Port</v>
      </c>
      <c r="N479" t="str">
        <f>TEXT(DATE(EXPORT[[#This Row],[Year]], A479, 1), "mmmm")</f>
        <v>April</v>
      </c>
    </row>
    <row r="480" spans="1:14" x14ac:dyDescent="0.3">
      <c r="A480">
        <v>6</v>
      </c>
      <c r="B480">
        <v>2018</v>
      </c>
      <c r="C480" t="s">
        <v>23</v>
      </c>
      <c r="D480">
        <v>24</v>
      </c>
      <c r="E480" t="s">
        <v>235</v>
      </c>
      <c r="F480" t="s">
        <v>105</v>
      </c>
      <c r="G480" t="s">
        <v>363</v>
      </c>
      <c r="H480" t="s">
        <v>364</v>
      </c>
      <c r="I480" t="s">
        <v>365</v>
      </c>
      <c r="J480">
        <v>159156</v>
      </c>
      <c r="K480">
        <v>286004</v>
      </c>
      <c r="L480">
        <v>19389078</v>
      </c>
      <c r="M480" t="str">
        <f t="shared" si="7"/>
        <v>Sea Port</v>
      </c>
      <c r="N480" t="str">
        <f>TEXT(DATE(EXPORT[[#This Row],[Year]], A480, 1), "mmmm")</f>
        <v>June</v>
      </c>
    </row>
    <row r="481" spans="1:14" x14ac:dyDescent="0.3">
      <c r="A481">
        <v>1</v>
      </c>
      <c r="B481">
        <v>2022</v>
      </c>
      <c r="C481" t="s">
        <v>47</v>
      </c>
      <c r="D481">
        <v>7</v>
      </c>
      <c r="E481" t="s">
        <v>51</v>
      </c>
      <c r="F481" t="s">
        <v>20</v>
      </c>
      <c r="G481" t="s">
        <v>123</v>
      </c>
      <c r="H481" t="s">
        <v>613</v>
      </c>
      <c r="I481" t="s">
        <v>365</v>
      </c>
      <c r="J481">
        <v>24730</v>
      </c>
      <c r="K481">
        <v>98337</v>
      </c>
      <c r="L481">
        <v>7320346</v>
      </c>
      <c r="M481" t="str">
        <f t="shared" si="7"/>
        <v>ICD / Dry Port</v>
      </c>
      <c r="N481" t="str">
        <f>TEXT(DATE(EXPORT[[#This Row],[Year]], A481, 1), "mmmm")</f>
        <v>January</v>
      </c>
    </row>
    <row r="482" spans="1:14" x14ac:dyDescent="0.3">
      <c r="A482">
        <v>2</v>
      </c>
      <c r="B482">
        <v>2022</v>
      </c>
      <c r="C482" t="s">
        <v>47</v>
      </c>
      <c r="D482">
        <v>7</v>
      </c>
      <c r="E482" t="s">
        <v>51</v>
      </c>
      <c r="F482" t="s">
        <v>180</v>
      </c>
      <c r="G482" t="s">
        <v>160</v>
      </c>
      <c r="H482" t="s">
        <v>161</v>
      </c>
      <c r="I482" t="s">
        <v>365</v>
      </c>
      <c r="J482">
        <v>2377</v>
      </c>
      <c r="K482">
        <v>11474</v>
      </c>
      <c r="L482">
        <v>860565</v>
      </c>
      <c r="M482" t="str">
        <f t="shared" si="7"/>
        <v>ICD / Dry Port</v>
      </c>
      <c r="N482" t="str">
        <f>TEXT(DATE(EXPORT[[#This Row],[Year]], A482, 1), "mmmm")</f>
        <v>February</v>
      </c>
    </row>
    <row r="483" spans="1:14" x14ac:dyDescent="0.3">
      <c r="A483">
        <v>2</v>
      </c>
      <c r="B483">
        <v>2019</v>
      </c>
      <c r="C483" t="s">
        <v>47</v>
      </c>
      <c r="D483">
        <v>7</v>
      </c>
      <c r="E483" t="s">
        <v>48</v>
      </c>
      <c r="F483" t="s">
        <v>497</v>
      </c>
      <c r="G483" t="s">
        <v>438</v>
      </c>
      <c r="H483" t="s">
        <v>439</v>
      </c>
      <c r="I483" t="s">
        <v>365</v>
      </c>
      <c r="J483">
        <v>467</v>
      </c>
      <c r="K483">
        <v>11463</v>
      </c>
      <c r="L483">
        <v>816420</v>
      </c>
      <c r="M483" t="str">
        <f t="shared" si="7"/>
        <v>Air Port</v>
      </c>
      <c r="N483" t="str">
        <f>TEXT(DATE(EXPORT[[#This Row],[Year]], A483, 1), "mmmm")</f>
        <v>February</v>
      </c>
    </row>
    <row r="484" spans="1:14" x14ac:dyDescent="0.3">
      <c r="A484">
        <v>6</v>
      </c>
      <c r="B484">
        <v>2020</v>
      </c>
      <c r="C484" t="s">
        <v>47</v>
      </c>
      <c r="D484">
        <v>7</v>
      </c>
      <c r="E484" t="s">
        <v>48</v>
      </c>
      <c r="F484" t="s">
        <v>194</v>
      </c>
      <c r="G484" t="s">
        <v>490</v>
      </c>
      <c r="H484" t="s">
        <v>491</v>
      </c>
      <c r="I484" t="s">
        <v>365</v>
      </c>
      <c r="J484">
        <v>37</v>
      </c>
      <c r="K484">
        <v>15</v>
      </c>
      <c r="L484">
        <v>1121</v>
      </c>
      <c r="M484" t="str">
        <f t="shared" si="7"/>
        <v>Air Port</v>
      </c>
      <c r="N484" t="str">
        <f>TEXT(DATE(EXPORT[[#This Row],[Year]], A484, 1), "mmmm")</f>
        <v>June</v>
      </c>
    </row>
    <row r="485" spans="1:14" x14ac:dyDescent="0.3">
      <c r="A485">
        <v>4</v>
      </c>
      <c r="B485">
        <v>2020</v>
      </c>
      <c r="C485" t="s">
        <v>58</v>
      </c>
      <c r="D485">
        <v>27</v>
      </c>
      <c r="E485" t="s">
        <v>59</v>
      </c>
      <c r="F485" t="s">
        <v>380</v>
      </c>
      <c r="G485" t="s">
        <v>438</v>
      </c>
      <c r="H485" t="s">
        <v>439</v>
      </c>
      <c r="I485" t="s">
        <v>365</v>
      </c>
      <c r="J485">
        <v>17809</v>
      </c>
      <c r="K485">
        <v>234674</v>
      </c>
      <c r="L485">
        <v>17890723</v>
      </c>
      <c r="M485" t="str">
        <f t="shared" si="7"/>
        <v>Sea Port</v>
      </c>
      <c r="N485" t="str">
        <f>TEXT(DATE(EXPORT[[#This Row],[Year]], A485, 1), "mmmm")</f>
        <v>April</v>
      </c>
    </row>
    <row r="486" spans="1:14" x14ac:dyDescent="0.3">
      <c r="A486">
        <v>10</v>
      </c>
      <c r="B486">
        <v>2018</v>
      </c>
      <c r="C486" t="s">
        <v>58</v>
      </c>
      <c r="D486">
        <v>27</v>
      </c>
      <c r="E486" t="s">
        <v>59</v>
      </c>
      <c r="F486" t="s">
        <v>167</v>
      </c>
      <c r="G486" t="s">
        <v>490</v>
      </c>
      <c r="H486" t="s">
        <v>491</v>
      </c>
      <c r="I486" t="s">
        <v>365</v>
      </c>
      <c r="J486">
        <v>1557000</v>
      </c>
      <c r="K486">
        <v>857761</v>
      </c>
      <c r="L486">
        <v>63158944</v>
      </c>
      <c r="M486" t="str">
        <f t="shared" si="7"/>
        <v>Sea Port</v>
      </c>
      <c r="N486" t="str">
        <f>TEXT(DATE(EXPORT[[#This Row],[Year]], A486, 1), "mmmm")</f>
        <v>October</v>
      </c>
    </row>
    <row r="487" spans="1:14" x14ac:dyDescent="0.3">
      <c r="A487">
        <v>12</v>
      </c>
      <c r="B487">
        <v>2020</v>
      </c>
      <c r="C487" t="s">
        <v>42</v>
      </c>
      <c r="D487">
        <v>33</v>
      </c>
      <c r="E487" t="s">
        <v>111</v>
      </c>
      <c r="F487" t="s">
        <v>611</v>
      </c>
      <c r="G487" t="s">
        <v>438</v>
      </c>
      <c r="H487" t="s">
        <v>439</v>
      </c>
      <c r="I487" t="s">
        <v>365</v>
      </c>
      <c r="J487">
        <v>550</v>
      </c>
      <c r="K487">
        <v>15604</v>
      </c>
      <c r="L487">
        <v>1148359</v>
      </c>
      <c r="M487" t="str">
        <f t="shared" si="7"/>
        <v>Air Port</v>
      </c>
      <c r="N487" t="str">
        <f>TEXT(DATE(EXPORT[[#This Row],[Year]], A487, 1), "mmmm")</f>
        <v>December</v>
      </c>
    </row>
    <row r="488" spans="1:14" x14ac:dyDescent="0.3">
      <c r="A488">
        <v>8</v>
      </c>
      <c r="B488">
        <v>2019</v>
      </c>
      <c r="C488" t="s">
        <v>498</v>
      </c>
      <c r="D488">
        <v>18</v>
      </c>
      <c r="E488" t="s">
        <v>499</v>
      </c>
      <c r="F488" t="s">
        <v>126</v>
      </c>
      <c r="G488" t="s">
        <v>462</v>
      </c>
      <c r="H488" t="s">
        <v>463</v>
      </c>
      <c r="I488" t="s">
        <v>365</v>
      </c>
      <c r="J488">
        <v>48</v>
      </c>
      <c r="K488">
        <v>292</v>
      </c>
      <c r="L488">
        <v>20774</v>
      </c>
      <c r="M488" t="str">
        <f t="shared" si="7"/>
        <v>Other</v>
      </c>
      <c r="N488" t="str">
        <f>TEXT(DATE(EXPORT[[#This Row],[Year]], A488, 1), "mmmm")</f>
        <v>August</v>
      </c>
    </row>
    <row r="489" spans="1:14" x14ac:dyDescent="0.3">
      <c r="A489">
        <v>6</v>
      </c>
      <c r="B489">
        <v>2022</v>
      </c>
      <c r="C489" t="s">
        <v>42</v>
      </c>
      <c r="D489">
        <v>33</v>
      </c>
      <c r="E489" t="s">
        <v>170</v>
      </c>
      <c r="F489" t="s">
        <v>320</v>
      </c>
      <c r="G489" t="s">
        <v>436</v>
      </c>
      <c r="H489" t="s">
        <v>437</v>
      </c>
      <c r="I489" t="s">
        <v>365</v>
      </c>
      <c r="J489">
        <v>23750</v>
      </c>
      <c r="K489">
        <v>39949</v>
      </c>
      <c r="L489">
        <v>3118969</v>
      </c>
      <c r="M489" t="str">
        <f t="shared" si="7"/>
        <v>Other</v>
      </c>
      <c r="N489" t="str">
        <f>TEXT(DATE(EXPORT[[#This Row],[Year]], A489, 1), "mmmm")</f>
        <v>June</v>
      </c>
    </row>
    <row r="490" spans="1:14" x14ac:dyDescent="0.3">
      <c r="A490">
        <v>7</v>
      </c>
      <c r="B490">
        <v>2021</v>
      </c>
      <c r="C490" t="s">
        <v>47</v>
      </c>
      <c r="D490">
        <v>7</v>
      </c>
      <c r="E490" t="s">
        <v>48</v>
      </c>
      <c r="F490" t="s">
        <v>30</v>
      </c>
      <c r="G490" t="s">
        <v>474</v>
      </c>
      <c r="H490" t="s">
        <v>475</v>
      </c>
      <c r="I490" t="s">
        <v>365</v>
      </c>
      <c r="J490">
        <v>100</v>
      </c>
      <c r="K490">
        <v>8189</v>
      </c>
      <c r="L490">
        <v>610338</v>
      </c>
      <c r="M490" t="str">
        <f t="shared" si="7"/>
        <v>Air Port</v>
      </c>
      <c r="N490" t="str">
        <f>TEXT(DATE(EXPORT[[#This Row],[Year]], A490, 1), "mmmm")</f>
        <v>July</v>
      </c>
    </row>
    <row r="491" spans="1:14" x14ac:dyDescent="0.3">
      <c r="A491">
        <v>5</v>
      </c>
      <c r="B491">
        <v>2021</v>
      </c>
      <c r="C491" t="s">
        <v>47</v>
      </c>
      <c r="D491">
        <v>7</v>
      </c>
      <c r="E491" t="s">
        <v>48</v>
      </c>
      <c r="F491" t="s">
        <v>220</v>
      </c>
      <c r="G491" t="s">
        <v>438</v>
      </c>
      <c r="H491" t="s">
        <v>439</v>
      </c>
      <c r="I491" t="s">
        <v>365</v>
      </c>
      <c r="J491">
        <v>56751</v>
      </c>
      <c r="K491">
        <v>2334868</v>
      </c>
      <c r="L491">
        <v>171070394</v>
      </c>
      <c r="M491" t="str">
        <f t="shared" si="7"/>
        <v>Air Port</v>
      </c>
      <c r="N491" t="str">
        <f>TEXT(DATE(EXPORT[[#This Row],[Year]], A491, 1), "mmmm")</f>
        <v>May</v>
      </c>
    </row>
    <row r="492" spans="1:14" x14ac:dyDescent="0.3">
      <c r="A492">
        <v>6</v>
      </c>
      <c r="B492">
        <v>2020</v>
      </c>
      <c r="C492" t="s">
        <v>47</v>
      </c>
      <c r="D492">
        <v>7</v>
      </c>
      <c r="E492" t="s">
        <v>48</v>
      </c>
      <c r="F492" t="s">
        <v>380</v>
      </c>
      <c r="G492" t="s">
        <v>444</v>
      </c>
      <c r="H492" t="s">
        <v>445</v>
      </c>
      <c r="I492" t="s">
        <v>365</v>
      </c>
      <c r="J492">
        <v>12</v>
      </c>
      <c r="K492">
        <v>3044</v>
      </c>
      <c r="L492">
        <v>230548</v>
      </c>
      <c r="M492" t="str">
        <f t="shared" si="7"/>
        <v>Air Port</v>
      </c>
      <c r="N492" t="str">
        <f>TEXT(DATE(EXPORT[[#This Row],[Year]], A492, 1), "mmmm")</f>
        <v>June</v>
      </c>
    </row>
    <row r="493" spans="1:14" x14ac:dyDescent="0.3">
      <c r="A493">
        <v>12</v>
      </c>
      <c r="B493">
        <v>2018</v>
      </c>
      <c r="C493" t="s">
        <v>23</v>
      </c>
      <c r="D493">
        <v>24</v>
      </c>
      <c r="E493" t="s">
        <v>24</v>
      </c>
      <c r="F493" t="s">
        <v>131</v>
      </c>
      <c r="G493" t="s">
        <v>480</v>
      </c>
      <c r="H493" t="s">
        <v>481</v>
      </c>
      <c r="I493" t="s">
        <v>365</v>
      </c>
      <c r="J493">
        <v>9650</v>
      </c>
      <c r="K493">
        <v>17179</v>
      </c>
      <c r="L493">
        <v>1215062</v>
      </c>
      <c r="M493" t="str">
        <f t="shared" si="7"/>
        <v>Other</v>
      </c>
      <c r="N493" t="str">
        <f>TEXT(DATE(EXPORT[[#This Row],[Year]], A493, 1), "mmmm")</f>
        <v>December</v>
      </c>
    </row>
    <row r="494" spans="1:14" x14ac:dyDescent="0.3">
      <c r="A494">
        <v>10</v>
      </c>
      <c r="B494">
        <v>2021</v>
      </c>
      <c r="C494" t="s">
        <v>47</v>
      </c>
      <c r="D494">
        <v>7</v>
      </c>
      <c r="E494" t="s">
        <v>48</v>
      </c>
      <c r="F494" t="s">
        <v>68</v>
      </c>
      <c r="G494" t="s">
        <v>460</v>
      </c>
      <c r="H494" t="s">
        <v>461</v>
      </c>
      <c r="I494" t="s">
        <v>365</v>
      </c>
      <c r="J494">
        <v>3146</v>
      </c>
      <c r="K494">
        <v>683179</v>
      </c>
      <c r="L494">
        <v>51180564</v>
      </c>
      <c r="M494" t="str">
        <f t="shared" si="7"/>
        <v>Air Port</v>
      </c>
      <c r="N494" t="str">
        <f>TEXT(DATE(EXPORT[[#This Row],[Year]], A494, 1), "mmmm")</f>
        <v>October</v>
      </c>
    </row>
    <row r="495" spans="1:14" x14ac:dyDescent="0.3">
      <c r="A495">
        <v>10</v>
      </c>
      <c r="B495">
        <v>2021</v>
      </c>
      <c r="C495" t="s">
        <v>132</v>
      </c>
      <c r="D495">
        <v>19</v>
      </c>
      <c r="E495" t="s">
        <v>209</v>
      </c>
      <c r="F495" t="s">
        <v>68</v>
      </c>
      <c r="G495" t="s">
        <v>436</v>
      </c>
      <c r="H495" t="s">
        <v>437</v>
      </c>
      <c r="I495" t="s">
        <v>365</v>
      </c>
      <c r="J495">
        <v>39800</v>
      </c>
      <c r="K495">
        <v>44614</v>
      </c>
      <c r="L495">
        <v>3342255</v>
      </c>
      <c r="M495" t="str">
        <f t="shared" si="7"/>
        <v>Sea Port</v>
      </c>
      <c r="N495" t="str">
        <f>TEXT(DATE(EXPORT[[#This Row],[Year]], A495, 1), "mmmm")</f>
        <v>October</v>
      </c>
    </row>
    <row r="496" spans="1:14" x14ac:dyDescent="0.3">
      <c r="A496">
        <v>11</v>
      </c>
      <c r="B496">
        <v>2020</v>
      </c>
      <c r="C496" t="s">
        <v>275</v>
      </c>
      <c r="D496">
        <v>28</v>
      </c>
      <c r="E496" t="s">
        <v>469</v>
      </c>
      <c r="F496" t="s">
        <v>90</v>
      </c>
      <c r="G496" t="s">
        <v>442</v>
      </c>
      <c r="H496" t="s">
        <v>443</v>
      </c>
      <c r="I496" t="s">
        <v>365</v>
      </c>
      <c r="J496">
        <v>4411916</v>
      </c>
      <c r="K496">
        <v>24134288</v>
      </c>
      <c r="L496">
        <v>1791242038</v>
      </c>
      <c r="M496" t="str">
        <f t="shared" si="7"/>
        <v>Sea Port</v>
      </c>
      <c r="N496" t="str">
        <f>TEXT(DATE(EXPORT[[#This Row],[Year]], A496, 1), "mmmm")</f>
        <v>November</v>
      </c>
    </row>
    <row r="497" spans="1:14" x14ac:dyDescent="0.3">
      <c r="A497">
        <v>12</v>
      </c>
      <c r="B497">
        <v>2022</v>
      </c>
      <c r="C497" t="s">
        <v>28</v>
      </c>
      <c r="D497">
        <v>29</v>
      </c>
      <c r="E497" t="s">
        <v>29</v>
      </c>
      <c r="F497" t="s">
        <v>215</v>
      </c>
      <c r="G497" t="s">
        <v>121</v>
      </c>
      <c r="H497" t="s">
        <v>122</v>
      </c>
      <c r="I497" t="s">
        <v>365</v>
      </c>
      <c r="J497">
        <v>1035</v>
      </c>
      <c r="K497">
        <v>13298</v>
      </c>
      <c r="L497">
        <v>1096643</v>
      </c>
      <c r="M497" t="str">
        <f t="shared" si="7"/>
        <v>Sea Port</v>
      </c>
      <c r="N497" t="str">
        <f>TEXT(DATE(EXPORT[[#This Row],[Year]], A497, 1), "mmmm")</f>
        <v>December</v>
      </c>
    </row>
    <row r="498" spans="1:14" x14ac:dyDescent="0.3">
      <c r="A498">
        <v>5</v>
      </c>
      <c r="B498">
        <v>2019</v>
      </c>
      <c r="C498" t="s">
        <v>58</v>
      </c>
      <c r="D498">
        <v>27</v>
      </c>
      <c r="E498" t="s">
        <v>59</v>
      </c>
      <c r="F498" t="s">
        <v>321</v>
      </c>
      <c r="G498" t="s">
        <v>462</v>
      </c>
      <c r="H498" t="s">
        <v>463</v>
      </c>
      <c r="I498" t="s">
        <v>365</v>
      </c>
      <c r="J498">
        <v>5000</v>
      </c>
      <c r="K498">
        <v>27264</v>
      </c>
      <c r="L498">
        <v>1902320</v>
      </c>
      <c r="M498" t="str">
        <f t="shared" si="7"/>
        <v>Sea Port</v>
      </c>
      <c r="N498" t="str">
        <f>TEXT(DATE(EXPORT[[#This Row],[Year]], A498, 1), "mmmm")</f>
        <v>May</v>
      </c>
    </row>
    <row r="499" spans="1:14" x14ac:dyDescent="0.3">
      <c r="A499">
        <v>1</v>
      </c>
      <c r="B499">
        <v>2020</v>
      </c>
      <c r="C499" t="s">
        <v>58</v>
      </c>
      <c r="D499">
        <v>27</v>
      </c>
      <c r="E499" t="s">
        <v>216</v>
      </c>
      <c r="F499" t="s">
        <v>35</v>
      </c>
      <c r="G499" t="s">
        <v>500</v>
      </c>
      <c r="H499" t="s">
        <v>501</v>
      </c>
      <c r="I499" t="s">
        <v>365</v>
      </c>
      <c r="J499">
        <v>51400</v>
      </c>
      <c r="K499">
        <v>143870</v>
      </c>
      <c r="L499">
        <v>10259915</v>
      </c>
      <c r="M499" t="str">
        <f t="shared" si="7"/>
        <v>Other</v>
      </c>
      <c r="N499" t="str">
        <f>TEXT(DATE(EXPORT[[#This Row],[Year]], A499, 1), "mmmm")</f>
        <v>January</v>
      </c>
    </row>
    <row r="500" spans="1:14" x14ac:dyDescent="0.3">
      <c r="A500">
        <v>12</v>
      </c>
      <c r="B500">
        <v>2019</v>
      </c>
      <c r="C500" t="s">
        <v>275</v>
      </c>
      <c r="D500">
        <v>28</v>
      </c>
      <c r="E500" t="s">
        <v>502</v>
      </c>
      <c r="F500" t="s">
        <v>289</v>
      </c>
      <c r="G500" t="s">
        <v>442</v>
      </c>
      <c r="H500" t="s">
        <v>443</v>
      </c>
      <c r="I500" t="s">
        <v>365</v>
      </c>
      <c r="J500">
        <v>24000</v>
      </c>
      <c r="K500">
        <v>119385</v>
      </c>
      <c r="L500">
        <v>8499356</v>
      </c>
      <c r="M500" t="str">
        <f t="shared" si="7"/>
        <v>Other</v>
      </c>
      <c r="N500" t="str">
        <f>TEXT(DATE(EXPORT[[#This Row],[Year]], A500, 1), "mmmm")</f>
        <v>December</v>
      </c>
    </row>
    <row r="501" spans="1:14" x14ac:dyDescent="0.3">
      <c r="A501">
        <v>1</v>
      </c>
      <c r="B501">
        <v>2019</v>
      </c>
      <c r="C501" t="s">
        <v>28</v>
      </c>
      <c r="D501">
        <v>29</v>
      </c>
      <c r="E501" t="s">
        <v>29</v>
      </c>
      <c r="F501" t="s">
        <v>190</v>
      </c>
      <c r="G501" t="s">
        <v>503</v>
      </c>
      <c r="H501" t="s">
        <v>504</v>
      </c>
      <c r="I501" t="s">
        <v>365</v>
      </c>
      <c r="J501">
        <v>12778</v>
      </c>
      <c r="K501">
        <v>43293</v>
      </c>
      <c r="L501">
        <v>3062237</v>
      </c>
      <c r="M501" t="str">
        <f t="shared" si="7"/>
        <v>Sea Port</v>
      </c>
      <c r="N501" t="str">
        <f>TEXT(DATE(EXPORT[[#This Row],[Year]], A501, 1), "mmmm")</f>
        <v>January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143E6-A3F6-48F6-BFD7-9B5B4262A454}">
  <dimension ref="A1:N501"/>
  <sheetViews>
    <sheetView topLeftCell="H1" workbookViewId="0">
      <selection activeCell="O501" sqref="O501"/>
    </sheetView>
  </sheetViews>
  <sheetFormatPr defaultRowHeight="14.4" x14ac:dyDescent="0.3"/>
  <cols>
    <col min="1" max="1" width="9" bestFit="1" customWidth="1"/>
    <col min="2" max="2" width="6.88671875" bestFit="1" customWidth="1"/>
    <col min="3" max="3" width="14.5546875" bestFit="1" customWidth="1"/>
    <col min="4" max="4" width="12.33203125" bestFit="1" customWidth="1"/>
    <col min="5" max="5" width="29.21875" bestFit="1" customWidth="1"/>
    <col min="6" max="6" width="16.33203125" bestFit="1" customWidth="1"/>
    <col min="7" max="7" width="25.88671875" bestFit="1" customWidth="1"/>
    <col min="8" max="8" width="27.21875" bestFit="1" customWidth="1"/>
    <col min="9" max="9" width="27.109375" bestFit="1" customWidth="1"/>
    <col min="10" max="10" width="28.33203125" bestFit="1" customWidth="1"/>
    <col min="11" max="11" width="34.44140625" bestFit="1" customWidth="1"/>
    <col min="12" max="12" width="33.88671875" bestFit="1" customWidth="1"/>
    <col min="13" max="13" width="18.88671875" customWidth="1"/>
    <col min="14" max="14" width="13.5546875" customWidth="1"/>
  </cols>
  <sheetData>
    <row r="1" spans="1:14" x14ac:dyDescent="0.3">
      <c r="A1" t="s">
        <v>10</v>
      </c>
      <c r="B1" t="s">
        <v>11</v>
      </c>
      <c r="C1" t="s">
        <v>0</v>
      </c>
      <c r="D1" t="s">
        <v>1</v>
      </c>
      <c r="E1" t="s">
        <v>505</v>
      </c>
      <c r="F1" t="s">
        <v>506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541</v>
      </c>
      <c r="N1" t="s">
        <v>616</v>
      </c>
    </row>
    <row r="2" spans="1:14" x14ac:dyDescent="0.3">
      <c r="A2">
        <v>4</v>
      </c>
      <c r="B2">
        <v>2018</v>
      </c>
      <c r="C2" t="s">
        <v>42</v>
      </c>
      <c r="D2">
        <v>33</v>
      </c>
      <c r="E2" t="s">
        <v>238</v>
      </c>
      <c r="F2" t="s">
        <v>90</v>
      </c>
      <c r="G2" t="s">
        <v>347</v>
      </c>
      <c r="H2" t="s">
        <v>542</v>
      </c>
      <c r="I2" t="s">
        <v>17</v>
      </c>
      <c r="J2">
        <v>0</v>
      </c>
      <c r="K2">
        <v>268</v>
      </c>
      <c r="L2">
        <v>17559</v>
      </c>
      <c r="M2" t="str">
        <f t="shared" ref="M2:M65" si="0">IF(OR(ISNUMBER(SEARCH("ICD",E2)),ISNUMBER(SEARCH("Dry Port",E2))),"ICD / Dry Port", IF(OR(ISNUMBER(SEARCH("Sea",E2)),ISNUMBER(SEARCH("Port",E2))),"Sea Port", IF(OR(ISNUMBER(SEARCH("Air",E2)),ISNUMBER(SEARCH("Airport",E2))),"Air Port", IF(ISNUMBER(SEARCH("CFS",E2)),"CFS", IF(OR(ISNUMBER(SEARCH("SEZ",E2)),ISNUMBER(SEARCH("EPZ",E2)),ISNUMBER(SEARCH("FTWZ",E2)),ISNUMBER(SEARCH("City",E2)),ISNUMBER(SEARCH("Park",E2))),"SEZ / Industrial Zone", IF(OR(ISNUMBER(SEARCH("Land",E2)),ISNUMBER(SEARCH("LCS",E2)),ISNUMBER(SEARCH("Rly",E2))),"Land Port", "Other"))))))</f>
        <v>Sea Port</v>
      </c>
      <c r="N2" t="str">
        <f>TEXT(DATE(2024, A2, 1), "mmmm")</f>
        <v>April</v>
      </c>
    </row>
    <row r="3" spans="1:14" x14ac:dyDescent="0.3">
      <c r="A3">
        <v>7</v>
      </c>
      <c r="B3">
        <v>2020</v>
      </c>
      <c r="C3" t="s">
        <v>42</v>
      </c>
      <c r="D3">
        <v>33</v>
      </c>
      <c r="E3" t="s">
        <v>176</v>
      </c>
      <c r="F3" t="s">
        <v>205</v>
      </c>
      <c r="G3" t="s">
        <v>543</v>
      </c>
      <c r="H3" t="s">
        <v>544</v>
      </c>
      <c r="I3" t="s">
        <v>17</v>
      </c>
      <c r="J3">
        <v>0</v>
      </c>
      <c r="K3">
        <v>14955</v>
      </c>
      <c r="L3">
        <v>1121491</v>
      </c>
      <c r="M3" t="str">
        <f t="shared" si="0"/>
        <v>Sea Port</v>
      </c>
      <c r="N3" t="str">
        <f t="shared" ref="N3:N66" si="1">TEXT(DATE(2024, A3, 1), "mmmm")</f>
        <v>July</v>
      </c>
    </row>
    <row r="4" spans="1:14" x14ac:dyDescent="0.3">
      <c r="A4">
        <v>9</v>
      </c>
      <c r="B4">
        <v>2023</v>
      </c>
      <c r="C4" t="s">
        <v>42</v>
      </c>
      <c r="D4">
        <v>33</v>
      </c>
      <c r="E4" t="s">
        <v>545</v>
      </c>
      <c r="F4" t="s">
        <v>20</v>
      </c>
      <c r="G4" t="s">
        <v>127</v>
      </c>
      <c r="H4" t="s">
        <v>128</v>
      </c>
      <c r="I4" t="s">
        <v>17</v>
      </c>
      <c r="J4">
        <v>0</v>
      </c>
      <c r="K4">
        <v>39959</v>
      </c>
      <c r="L4">
        <v>3318517</v>
      </c>
      <c r="M4" t="str">
        <f t="shared" si="0"/>
        <v>SEZ / Industrial Zone</v>
      </c>
      <c r="N4" t="str">
        <f t="shared" si="1"/>
        <v>September</v>
      </c>
    </row>
    <row r="5" spans="1:14" x14ac:dyDescent="0.3">
      <c r="A5">
        <v>4</v>
      </c>
      <c r="B5">
        <v>2021</v>
      </c>
      <c r="C5" t="s">
        <v>42</v>
      </c>
      <c r="D5">
        <v>33</v>
      </c>
      <c r="E5" t="s">
        <v>546</v>
      </c>
      <c r="F5" t="s">
        <v>108</v>
      </c>
      <c r="G5" t="s">
        <v>258</v>
      </c>
      <c r="H5" t="s">
        <v>259</v>
      </c>
      <c r="I5" t="s">
        <v>17</v>
      </c>
      <c r="J5">
        <v>0</v>
      </c>
      <c r="K5">
        <v>6931</v>
      </c>
      <c r="L5">
        <v>516161</v>
      </c>
      <c r="M5" t="str">
        <f t="shared" si="0"/>
        <v>SEZ / Industrial Zone</v>
      </c>
      <c r="N5" t="str">
        <f t="shared" si="1"/>
        <v>April</v>
      </c>
    </row>
    <row r="6" spans="1:14" x14ac:dyDescent="0.3">
      <c r="A6">
        <v>11</v>
      </c>
      <c r="B6">
        <v>2023</v>
      </c>
      <c r="C6" t="s">
        <v>42</v>
      </c>
      <c r="D6">
        <v>33</v>
      </c>
      <c r="E6" t="s">
        <v>55</v>
      </c>
      <c r="F6" t="s">
        <v>90</v>
      </c>
      <c r="G6" t="s">
        <v>338</v>
      </c>
      <c r="H6" t="s">
        <v>339</v>
      </c>
      <c r="I6" t="s">
        <v>17</v>
      </c>
      <c r="J6">
        <v>0</v>
      </c>
      <c r="K6">
        <v>371337</v>
      </c>
      <c r="L6">
        <v>30931652</v>
      </c>
      <c r="M6" t="str">
        <f t="shared" si="0"/>
        <v>SEZ / Industrial Zone</v>
      </c>
      <c r="N6" t="str">
        <f t="shared" si="1"/>
        <v>November</v>
      </c>
    </row>
    <row r="7" spans="1:14" x14ac:dyDescent="0.3">
      <c r="A7">
        <v>4</v>
      </c>
      <c r="B7">
        <v>2018</v>
      </c>
      <c r="C7" t="s">
        <v>42</v>
      </c>
      <c r="D7">
        <v>33</v>
      </c>
      <c r="E7" t="s">
        <v>547</v>
      </c>
      <c r="F7" t="s">
        <v>90</v>
      </c>
      <c r="G7" t="s">
        <v>86</v>
      </c>
      <c r="H7" t="s">
        <v>548</v>
      </c>
      <c r="I7" t="s">
        <v>17</v>
      </c>
      <c r="J7">
        <v>0</v>
      </c>
      <c r="K7">
        <v>3385</v>
      </c>
      <c r="L7">
        <v>222174</v>
      </c>
      <c r="M7" t="str">
        <f t="shared" si="0"/>
        <v>SEZ / Industrial Zone</v>
      </c>
      <c r="N7" t="str">
        <f t="shared" si="1"/>
        <v>April</v>
      </c>
    </row>
    <row r="8" spans="1:14" x14ac:dyDescent="0.3">
      <c r="A8">
        <v>5</v>
      </c>
      <c r="B8">
        <v>2021</v>
      </c>
      <c r="C8" t="s">
        <v>42</v>
      </c>
      <c r="D8">
        <v>33</v>
      </c>
      <c r="E8" t="s">
        <v>43</v>
      </c>
      <c r="F8" t="s">
        <v>142</v>
      </c>
      <c r="G8" t="s">
        <v>195</v>
      </c>
      <c r="H8" t="s">
        <v>196</v>
      </c>
      <c r="I8" t="s">
        <v>17</v>
      </c>
      <c r="J8">
        <v>0</v>
      </c>
      <c r="K8">
        <v>162795</v>
      </c>
      <c r="L8">
        <v>11927627</v>
      </c>
      <c r="M8" t="str">
        <f t="shared" si="0"/>
        <v>Sea Port</v>
      </c>
      <c r="N8" t="str">
        <f t="shared" si="1"/>
        <v>May</v>
      </c>
    </row>
    <row r="9" spans="1:14" x14ac:dyDescent="0.3">
      <c r="A9">
        <v>5</v>
      </c>
      <c r="B9">
        <v>2020</v>
      </c>
      <c r="C9" t="s">
        <v>42</v>
      </c>
      <c r="D9">
        <v>33</v>
      </c>
      <c r="E9" t="s">
        <v>176</v>
      </c>
      <c r="F9" t="s">
        <v>90</v>
      </c>
      <c r="G9" t="s">
        <v>116</v>
      </c>
      <c r="H9" t="s">
        <v>117</v>
      </c>
      <c r="I9" t="s">
        <v>17</v>
      </c>
      <c r="J9">
        <v>0</v>
      </c>
      <c r="K9">
        <v>667272</v>
      </c>
      <c r="L9">
        <v>50485741</v>
      </c>
      <c r="M9" t="str">
        <f t="shared" si="0"/>
        <v>Sea Port</v>
      </c>
      <c r="N9" t="str">
        <f t="shared" si="1"/>
        <v>May</v>
      </c>
    </row>
    <row r="10" spans="1:14" x14ac:dyDescent="0.3">
      <c r="A10">
        <v>1</v>
      </c>
      <c r="B10">
        <v>2021</v>
      </c>
      <c r="C10" t="s">
        <v>42</v>
      </c>
      <c r="D10">
        <v>33</v>
      </c>
      <c r="E10" t="s">
        <v>513</v>
      </c>
      <c r="F10" t="s">
        <v>30</v>
      </c>
      <c r="G10" t="s">
        <v>92</v>
      </c>
      <c r="H10" t="s">
        <v>93</v>
      </c>
      <c r="I10" t="s">
        <v>17</v>
      </c>
      <c r="J10">
        <v>0</v>
      </c>
      <c r="K10">
        <v>6261</v>
      </c>
      <c r="L10">
        <v>457739</v>
      </c>
      <c r="M10" t="str">
        <f t="shared" si="0"/>
        <v>SEZ / Industrial Zone</v>
      </c>
      <c r="N10" t="str">
        <f t="shared" si="1"/>
        <v>January</v>
      </c>
    </row>
    <row r="11" spans="1:14" x14ac:dyDescent="0.3">
      <c r="A11">
        <v>12</v>
      </c>
      <c r="B11">
        <v>2019</v>
      </c>
      <c r="C11" t="s">
        <v>42</v>
      </c>
      <c r="D11">
        <v>33</v>
      </c>
      <c r="E11" t="s">
        <v>43</v>
      </c>
      <c r="F11" t="s">
        <v>142</v>
      </c>
      <c r="G11" t="s">
        <v>121</v>
      </c>
      <c r="H11" t="s">
        <v>122</v>
      </c>
      <c r="I11" t="s">
        <v>17</v>
      </c>
      <c r="J11">
        <v>0</v>
      </c>
      <c r="K11">
        <v>9506</v>
      </c>
      <c r="L11">
        <v>676735</v>
      </c>
      <c r="M11" t="str">
        <f t="shared" si="0"/>
        <v>Sea Port</v>
      </c>
      <c r="N11" t="str">
        <f t="shared" si="1"/>
        <v>December</v>
      </c>
    </row>
    <row r="12" spans="1:14" x14ac:dyDescent="0.3">
      <c r="A12">
        <v>9</v>
      </c>
      <c r="B12">
        <v>2019</v>
      </c>
      <c r="C12" t="s">
        <v>42</v>
      </c>
      <c r="D12">
        <v>33</v>
      </c>
      <c r="E12" t="s">
        <v>43</v>
      </c>
      <c r="F12" t="s">
        <v>515</v>
      </c>
      <c r="G12" t="s">
        <v>99</v>
      </c>
      <c r="H12" t="s">
        <v>549</v>
      </c>
      <c r="I12" t="s">
        <v>17</v>
      </c>
      <c r="J12">
        <v>0</v>
      </c>
      <c r="K12">
        <v>88653</v>
      </c>
      <c r="L12">
        <v>6323928</v>
      </c>
      <c r="M12" t="str">
        <f t="shared" si="0"/>
        <v>Sea Port</v>
      </c>
      <c r="N12" t="str">
        <f t="shared" si="1"/>
        <v>September</v>
      </c>
    </row>
    <row r="13" spans="1:14" x14ac:dyDescent="0.3">
      <c r="A13">
        <v>5</v>
      </c>
      <c r="B13">
        <v>2022</v>
      </c>
      <c r="C13" t="s">
        <v>42</v>
      </c>
      <c r="D13">
        <v>33</v>
      </c>
      <c r="E13" t="s">
        <v>550</v>
      </c>
      <c r="F13" t="s">
        <v>142</v>
      </c>
      <c r="G13" t="s">
        <v>56</v>
      </c>
      <c r="H13" t="s">
        <v>57</v>
      </c>
      <c r="I13" t="s">
        <v>17</v>
      </c>
      <c r="J13">
        <v>0</v>
      </c>
      <c r="K13">
        <v>6278</v>
      </c>
      <c r="L13">
        <v>485415</v>
      </c>
      <c r="M13" t="str">
        <f t="shared" si="0"/>
        <v>Other</v>
      </c>
      <c r="N13" t="str">
        <f t="shared" si="1"/>
        <v>May</v>
      </c>
    </row>
    <row r="14" spans="1:14" x14ac:dyDescent="0.3">
      <c r="A14">
        <v>5</v>
      </c>
      <c r="B14">
        <v>2022</v>
      </c>
      <c r="C14" t="s">
        <v>42</v>
      </c>
      <c r="D14">
        <v>33</v>
      </c>
      <c r="E14" t="s">
        <v>223</v>
      </c>
      <c r="F14" t="s">
        <v>251</v>
      </c>
      <c r="G14" t="s">
        <v>21</v>
      </c>
      <c r="H14" t="s">
        <v>22</v>
      </c>
      <c r="I14" t="s">
        <v>17</v>
      </c>
      <c r="J14">
        <v>0</v>
      </c>
      <c r="K14">
        <v>195627</v>
      </c>
      <c r="L14">
        <v>15125768</v>
      </c>
      <c r="M14" t="str">
        <f t="shared" si="0"/>
        <v>Sea Port</v>
      </c>
      <c r="N14" t="str">
        <f t="shared" si="1"/>
        <v>May</v>
      </c>
    </row>
    <row r="15" spans="1:14" x14ac:dyDescent="0.3">
      <c r="A15">
        <v>1</v>
      </c>
      <c r="B15">
        <v>2022</v>
      </c>
      <c r="C15" t="s">
        <v>42</v>
      </c>
      <c r="D15">
        <v>33</v>
      </c>
      <c r="E15" t="s">
        <v>67</v>
      </c>
      <c r="F15" t="s">
        <v>30</v>
      </c>
      <c r="G15" t="s">
        <v>187</v>
      </c>
      <c r="H15" t="s">
        <v>188</v>
      </c>
      <c r="I15" t="s">
        <v>17</v>
      </c>
      <c r="J15">
        <v>0</v>
      </c>
      <c r="K15">
        <v>514</v>
      </c>
      <c r="L15">
        <v>38278</v>
      </c>
      <c r="M15" t="str">
        <f t="shared" si="0"/>
        <v>ICD / Dry Port</v>
      </c>
      <c r="N15" t="str">
        <f t="shared" si="1"/>
        <v>January</v>
      </c>
    </row>
    <row r="16" spans="1:14" x14ac:dyDescent="0.3">
      <c r="A16">
        <v>3</v>
      </c>
      <c r="B16">
        <v>2023</v>
      </c>
      <c r="C16" t="s">
        <v>42</v>
      </c>
      <c r="D16">
        <v>33</v>
      </c>
      <c r="E16" t="s">
        <v>54</v>
      </c>
      <c r="F16" t="s">
        <v>350</v>
      </c>
      <c r="G16" t="s">
        <v>150</v>
      </c>
      <c r="H16" t="s">
        <v>151</v>
      </c>
      <c r="I16" t="s">
        <v>17</v>
      </c>
      <c r="J16">
        <v>0</v>
      </c>
      <c r="K16">
        <v>15310</v>
      </c>
      <c r="L16">
        <v>1259835</v>
      </c>
      <c r="M16" t="str">
        <f t="shared" si="0"/>
        <v>Other</v>
      </c>
      <c r="N16" t="str">
        <f t="shared" si="1"/>
        <v>March</v>
      </c>
    </row>
    <row r="17" spans="1:14" x14ac:dyDescent="0.3">
      <c r="A17">
        <v>7</v>
      </c>
      <c r="B17">
        <v>2021</v>
      </c>
      <c r="C17" t="s">
        <v>42</v>
      </c>
      <c r="D17">
        <v>33</v>
      </c>
      <c r="E17" t="s">
        <v>176</v>
      </c>
      <c r="F17" t="s">
        <v>44</v>
      </c>
      <c r="G17" t="s">
        <v>282</v>
      </c>
      <c r="H17" t="s">
        <v>283</v>
      </c>
      <c r="I17" t="s">
        <v>17</v>
      </c>
      <c r="J17">
        <v>0</v>
      </c>
      <c r="K17">
        <v>403523</v>
      </c>
      <c r="L17">
        <v>30073344</v>
      </c>
      <c r="M17" t="str">
        <f t="shared" si="0"/>
        <v>Sea Port</v>
      </c>
      <c r="N17" t="str">
        <f t="shared" si="1"/>
        <v>July</v>
      </c>
    </row>
    <row r="18" spans="1:14" x14ac:dyDescent="0.3">
      <c r="A18">
        <v>10</v>
      </c>
      <c r="B18">
        <v>2018</v>
      </c>
      <c r="C18" t="s">
        <v>42</v>
      </c>
      <c r="D18">
        <v>33</v>
      </c>
      <c r="E18" t="s">
        <v>43</v>
      </c>
      <c r="F18" t="s">
        <v>167</v>
      </c>
      <c r="G18" t="s">
        <v>335</v>
      </c>
      <c r="H18" t="s">
        <v>507</v>
      </c>
      <c r="I18" t="s">
        <v>17</v>
      </c>
      <c r="J18">
        <v>0</v>
      </c>
      <c r="K18">
        <v>726692</v>
      </c>
      <c r="L18">
        <v>53507975</v>
      </c>
      <c r="M18" t="str">
        <f t="shared" si="0"/>
        <v>Sea Port</v>
      </c>
      <c r="N18" t="str">
        <f t="shared" si="1"/>
        <v>October</v>
      </c>
    </row>
    <row r="19" spans="1:14" x14ac:dyDescent="0.3">
      <c r="A19">
        <v>1</v>
      </c>
      <c r="B19">
        <v>2024</v>
      </c>
      <c r="C19" t="s">
        <v>42</v>
      </c>
      <c r="D19">
        <v>33</v>
      </c>
      <c r="E19" t="s">
        <v>111</v>
      </c>
      <c r="F19" t="s">
        <v>142</v>
      </c>
      <c r="G19" t="s">
        <v>56</v>
      </c>
      <c r="H19" t="s">
        <v>57</v>
      </c>
      <c r="I19" t="s">
        <v>17</v>
      </c>
      <c r="J19">
        <v>0</v>
      </c>
      <c r="K19">
        <v>13570520</v>
      </c>
      <c r="L19">
        <v>1127995318</v>
      </c>
      <c r="M19" t="str">
        <f t="shared" si="0"/>
        <v>Air Port</v>
      </c>
      <c r="N19" t="str">
        <f t="shared" si="1"/>
        <v>January</v>
      </c>
    </row>
    <row r="20" spans="1:14" x14ac:dyDescent="0.3">
      <c r="A20">
        <v>1</v>
      </c>
      <c r="B20">
        <v>2018</v>
      </c>
      <c r="C20" t="s">
        <v>42</v>
      </c>
      <c r="D20">
        <v>33</v>
      </c>
      <c r="E20" t="s">
        <v>111</v>
      </c>
      <c r="F20" t="s">
        <v>263</v>
      </c>
      <c r="G20" t="s">
        <v>160</v>
      </c>
      <c r="H20" t="s">
        <v>161</v>
      </c>
      <c r="I20" t="s">
        <v>17</v>
      </c>
      <c r="J20">
        <v>0</v>
      </c>
      <c r="K20">
        <v>46035</v>
      </c>
      <c r="L20">
        <v>2929529</v>
      </c>
      <c r="M20" t="str">
        <f t="shared" si="0"/>
        <v>Air Port</v>
      </c>
      <c r="N20" t="str">
        <f t="shared" si="1"/>
        <v>January</v>
      </c>
    </row>
    <row r="21" spans="1:14" x14ac:dyDescent="0.3">
      <c r="A21">
        <v>3</v>
      </c>
      <c r="B21">
        <v>2023</v>
      </c>
      <c r="C21" t="s">
        <v>42</v>
      </c>
      <c r="D21">
        <v>33</v>
      </c>
      <c r="E21" t="s">
        <v>43</v>
      </c>
      <c r="F21" t="s">
        <v>108</v>
      </c>
      <c r="G21" t="s">
        <v>202</v>
      </c>
      <c r="H21" t="s">
        <v>203</v>
      </c>
      <c r="I21" t="s">
        <v>17</v>
      </c>
      <c r="J21">
        <v>0</v>
      </c>
      <c r="K21">
        <v>3165</v>
      </c>
      <c r="L21">
        <v>260428</v>
      </c>
      <c r="M21" t="str">
        <f t="shared" si="0"/>
        <v>Sea Port</v>
      </c>
      <c r="N21" t="str">
        <f t="shared" si="1"/>
        <v>March</v>
      </c>
    </row>
    <row r="22" spans="1:14" x14ac:dyDescent="0.3">
      <c r="A22">
        <v>2</v>
      </c>
      <c r="B22">
        <v>2022</v>
      </c>
      <c r="C22" t="s">
        <v>42</v>
      </c>
      <c r="D22">
        <v>33</v>
      </c>
      <c r="E22" t="s">
        <v>192</v>
      </c>
      <c r="F22" t="s">
        <v>105</v>
      </c>
      <c r="G22" t="s">
        <v>36</v>
      </c>
      <c r="H22" t="s">
        <v>37</v>
      </c>
      <c r="I22" t="s">
        <v>17</v>
      </c>
      <c r="J22">
        <v>0</v>
      </c>
      <c r="K22">
        <v>698</v>
      </c>
      <c r="L22">
        <v>52386</v>
      </c>
      <c r="M22" t="str">
        <f t="shared" si="0"/>
        <v>Other</v>
      </c>
      <c r="N22" t="str">
        <f t="shared" si="1"/>
        <v>February</v>
      </c>
    </row>
    <row r="23" spans="1:14" x14ac:dyDescent="0.3">
      <c r="A23">
        <v>5</v>
      </c>
      <c r="B23">
        <v>2019</v>
      </c>
      <c r="C23" t="s">
        <v>42</v>
      </c>
      <c r="D23">
        <v>33</v>
      </c>
      <c r="E23" t="s">
        <v>111</v>
      </c>
      <c r="F23" t="s">
        <v>224</v>
      </c>
      <c r="G23" t="s">
        <v>121</v>
      </c>
      <c r="H23" t="s">
        <v>122</v>
      </c>
      <c r="I23" t="s">
        <v>17</v>
      </c>
      <c r="J23">
        <v>0</v>
      </c>
      <c r="K23">
        <v>2584</v>
      </c>
      <c r="L23">
        <v>180281</v>
      </c>
      <c r="M23" t="str">
        <f t="shared" si="0"/>
        <v>Air Port</v>
      </c>
      <c r="N23" t="str">
        <f t="shared" si="1"/>
        <v>May</v>
      </c>
    </row>
    <row r="24" spans="1:14" x14ac:dyDescent="0.3">
      <c r="A24">
        <v>12</v>
      </c>
      <c r="B24">
        <v>2018</v>
      </c>
      <c r="C24" t="s">
        <v>42</v>
      </c>
      <c r="D24">
        <v>33</v>
      </c>
      <c r="E24" t="s">
        <v>238</v>
      </c>
      <c r="F24" t="s">
        <v>118</v>
      </c>
      <c r="G24" t="s">
        <v>127</v>
      </c>
      <c r="H24" t="s">
        <v>128</v>
      </c>
      <c r="I24" t="s">
        <v>17</v>
      </c>
      <c r="J24">
        <v>0</v>
      </c>
      <c r="K24">
        <v>597835</v>
      </c>
      <c r="L24">
        <v>42285547</v>
      </c>
      <c r="M24" t="str">
        <f t="shared" si="0"/>
        <v>Sea Port</v>
      </c>
      <c r="N24" t="str">
        <f t="shared" si="1"/>
        <v>December</v>
      </c>
    </row>
    <row r="25" spans="1:14" x14ac:dyDescent="0.3">
      <c r="A25">
        <v>5</v>
      </c>
      <c r="B25">
        <v>2021</v>
      </c>
      <c r="C25" t="s">
        <v>42</v>
      </c>
      <c r="D25">
        <v>33</v>
      </c>
      <c r="E25" t="s">
        <v>43</v>
      </c>
      <c r="F25" t="s">
        <v>241</v>
      </c>
      <c r="G25" t="s">
        <v>92</v>
      </c>
      <c r="H25" t="s">
        <v>93</v>
      </c>
      <c r="I25" t="s">
        <v>17</v>
      </c>
      <c r="J25">
        <v>0</v>
      </c>
      <c r="K25">
        <v>1782</v>
      </c>
      <c r="L25">
        <v>130497</v>
      </c>
      <c r="M25" t="str">
        <f t="shared" si="0"/>
        <v>Sea Port</v>
      </c>
      <c r="N25" t="str">
        <f t="shared" si="1"/>
        <v>May</v>
      </c>
    </row>
    <row r="26" spans="1:14" x14ac:dyDescent="0.3">
      <c r="A26">
        <v>4</v>
      </c>
      <c r="B26">
        <v>2021</v>
      </c>
      <c r="C26" t="s">
        <v>42</v>
      </c>
      <c r="D26">
        <v>33</v>
      </c>
      <c r="E26" t="s">
        <v>67</v>
      </c>
      <c r="F26" t="s">
        <v>251</v>
      </c>
      <c r="G26" t="s">
        <v>99</v>
      </c>
      <c r="H26" t="s">
        <v>549</v>
      </c>
      <c r="I26" t="s">
        <v>17</v>
      </c>
      <c r="J26">
        <v>0</v>
      </c>
      <c r="K26">
        <v>331076</v>
      </c>
      <c r="L26">
        <v>24655975</v>
      </c>
      <c r="M26" t="str">
        <f t="shared" si="0"/>
        <v>ICD / Dry Port</v>
      </c>
      <c r="N26" t="str">
        <f t="shared" si="1"/>
        <v>April</v>
      </c>
    </row>
    <row r="27" spans="1:14" x14ac:dyDescent="0.3">
      <c r="A27">
        <v>12</v>
      </c>
      <c r="B27">
        <v>2018</v>
      </c>
      <c r="C27" t="s">
        <v>42</v>
      </c>
      <c r="D27">
        <v>33</v>
      </c>
      <c r="E27" t="s">
        <v>111</v>
      </c>
      <c r="F27" t="s">
        <v>551</v>
      </c>
      <c r="G27" t="s">
        <v>150</v>
      </c>
      <c r="H27" t="s">
        <v>151</v>
      </c>
      <c r="I27" t="s">
        <v>17</v>
      </c>
      <c r="J27">
        <v>0</v>
      </c>
      <c r="K27">
        <v>11938</v>
      </c>
      <c r="L27">
        <v>844380</v>
      </c>
      <c r="M27" t="str">
        <f t="shared" si="0"/>
        <v>Air Port</v>
      </c>
      <c r="N27" t="str">
        <f t="shared" si="1"/>
        <v>December</v>
      </c>
    </row>
    <row r="28" spans="1:14" x14ac:dyDescent="0.3">
      <c r="A28">
        <v>7</v>
      </c>
      <c r="B28">
        <v>2024</v>
      </c>
      <c r="C28" t="s">
        <v>42</v>
      </c>
      <c r="D28">
        <v>33</v>
      </c>
      <c r="E28" t="s">
        <v>223</v>
      </c>
      <c r="F28" t="s">
        <v>131</v>
      </c>
      <c r="G28" t="s">
        <v>36</v>
      </c>
      <c r="H28" t="s">
        <v>37</v>
      </c>
      <c r="I28" t="s">
        <v>17</v>
      </c>
      <c r="J28">
        <v>0</v>
      </c>
      <c r="K28">
        <v>46500</v>
      </c>
      <c r="L28">
        <v>3887120</v>
      </c>
      <c r="M28" t="str">
        <f t="shared" si="0"/>
        <v>Sea Port</v>
      </c>
      <c r="N28" t="str">
        <f t="shared" si="1"/>
        <v>July</v>
      </c>
    </row>
    <row r="29" spans="1:14" x14ac:dyDescent="0.3">
      <c r="A29">
        <v>6</v>
      </c>
      <c r="B29">
        <v>2024</v>
      </c>
      <c r="C29" t="s">
        <v>42</v>
      </c>
      <c r="D29">
        <v>33</v>
      </c>
      <c r="E29" t="s">
        <v>176</v>
      </c>
      <c r="F29" t="s">
        <v>242</v>
      </c>
      <c r="G29" t="s">
        <v>195</v>
      </c>
      <c r="H29" t="s">
        <v>196</v>
      </c>
      <c r="I29" t="s">
        <v>17</v>
      </c>
      <c r="J29">
        <v>0</v>
      </c>
      <c r="K29">
        <v>387</v>
      </c>
      <c r="L29">
        <v>32270</v>
      </c>
      <c r="M29" t="str">
        <f t="shared" si="0"/>
        <v>Sea Port</v>
      </c>
      <c r="N29" t="str">
        <f t="shared" si="1"/>
        <v>June</v>
      </c>
    </row>
    <row r="30" spans="1:14" x14ac:dyDescent="0.3">
      <c r="A30">
        <v>1</v>
      </c>
      <c r="B30">
        <v>2022</v>
      </c>
      <c r="C30" t="s">
        <v>42</v>
      </c>
      <c r="D30">
        <v>33</v>
      </c>
      <c r="E30" t="s">
        <v>255</v>
      </c>
      <c r="F30" t="s">
        <v>35</v>
      </c>
      <c r="G30" t="s">
        <v>36</v>
      </c>
      <c r="H30" t="s">
        <v>37</v>
      </c>
      <c r="I30" t="s">
        <v>17</v>
      </c>
      <c r="J30">
        <v>0</v>
      </c>
      <c r="K30">
        <v>638319</v>
      </c>
      <c r="L30">
        <v>47517444</v>
      </c>
      <c r="M30" t="str">
        <f t="shared" si="0"/>
        <v>SEZ / Industrial Zone</v>
      </c>
      <c r="N30" t="str">
        <f t="shared" si="1"/>
        <v>January</v>
      </c>
    </row>
    <row r="31" spans="1:14" x14ac:dyDescent="0.3">
      <c r="A31">
        <v>4</v>
      </c>
      <c r="B31">
        <v>2019</v>
      </c>
      <c r="C31" t="s">
        <v>42</v>
      </c>
      <c r="D31">
        <v>33</v>
      </c>
      <c r="E31" t="s">
        <v>43</v>
      </c>
      <c r="F31" t="s">
        <v>90</v>
      </c>
      <c r="G31" t="s">
        <v>157</v>
      </c>
      <c r="H31" t="s">
        <v>158</v>
      </c>
      <c r="I31" t="s">
        <v>17</v>
      </c>
      <c r="J31">
        <v>0</v>
      </c>
      <c r="K31">
        <v>12029248</v>
      </c>
      <c r="L31">
        <v>835159380</v>
      </c>
      <c r="M31" t="str">
        <f t="shared" si="0"/>
        <v>Sea Port</v>
      </c>
      <c r="N31" t="str">
        <f t="shared" si="1"/>
        <v>April</v>
      </c>
    </row>
    <row r="32" spans="1:14" x14ac:dyDescent="0.3">
      <c r="A32">
        <v>9</v>
      </c>
      <c r="B32">
        <v>2020</v>
      </c>
      <c r="C32" t="s">
        <v>42</v>
      </c>
      <c r="D32">
        <v>33</v>
      </c>
      <c r="E32" t="s">
        <v>111</v>
      </c>
      <c r="F32" t="s">
        <v>153</v>
      </c>
      <c r="G32" t="s">
        <v>26</v>
      </c>
      <c r="H32" t="s">
        <v>27</v>
      </c>
      <c r="I32" t="s">
        <v>17</v>
      </c>
      <c r="J32">
        <v>0</v>
      </c>
      <c r="K32">
        <v>3659566</v>
      </c>
      <c r="L32">
        <v>268911104</v>
      </c>
      <c r="M32" t="str">
        <f t="shared" si="0"/>
        <v>Air Port</v>
      </c>
      <c r="N32" t="str">
        <f t="shared" si="1"/>
        <v>September</v>
      </c>
    </row>
    <row r="33" spans="1:14" x14ac:dyDescent="0.3">
      <c r="A33">
        <v>5</v>
      </c>
      <c r="B33">
        <v>2019</v>
      </c>
      <c r="C33" t="s">
        <v>42</v>
      </c>
      <c r="D33">
        <v>33</v>
      </c>
      <c r="E33" t="s">
        <v>238</v>
      </c>
      <c r="F33" t="s">
        <v>193</v>
      </c>
      <c r="G33" t="s">
        <v>92</v>
      </c>
      <c r="H33" t="s">
        <v>93</v>
      </c>
      <c r="I33" t="s">
        <v>17</v>
      </c>
      <c r="J33">
        <v>0</v>
      </c>
      <c r="K33">
        <v>6744960</v>
      </c>
      <c r="L33">
        <v>470616779</v>
      </c>
      <c r="M33" t="str">
        <f t="shared" si="0"/>
        <v>Sea Port</v>
      </c>
      <c r="N33" t="str">
        <f t="shared" si="1"/>
        <v>May</v>
      </c>
    </row>
    <row r="34" spans="1:14" x14ac:dyDescent="0.3">
      <c r="A34">
        <v>3</v>
      </c>
      <c r="B34">
        <v>2022</v>
      </c>
      <c r="C34" t="s">
        <v>42</v>
      </c>
      <c r="D34">
        <v>33</v>
      </c>
      <c r="E34" t="s">
        <v>55</v>
      </c>
      <c r="F34" t="s">
        <v>90</v>
      </c>
      <c r="G34" t="s">
        <v>338</v>
      </c>
      <c r="H34" t="s">
        <v>339</v>
      </c>
      <c r="I34" t="s">
        <v>17</v>
      </c>
      <c r="J34">
        <v>0</v>
      </c>
      <c r="K34">
        <v>181066</v>
      </c>
      <c r="L34">
        <v>13805306</v>
      </c>
      <c r="M34" t="str">
        <f t="shared" si="0"/>
        <v>SEZ / Industrial Zone</v>
      </c>
      <c r="N34" t="str">
        <f t="shared" si="1"/>
        <v>March</v>
      </c>
    </row>
    <row r="35" spans="1:14" x14ac:dyDescent="0.3">
      <c r="A35">
        <v>10</v>
      </c>
      <c r="B35">
        <v>2023</v>
      </c>
      <c r="C35" t="s">
        <v>42</v>
      </c>
      <c r="D35">
        <v>33</v>
      </c>
      <c r="E35" t="s">
        <v>255</v>
      </c>
      <c r="F35" t="s">
        <v>193</v>
      </c>
      <c r="G35" t="s">
        <v>52</v>
      </c>
      <c r="H35" t="s">
        <v>53</v>
      </c>
      <c r="I35" t="s">
        <v>17</v>
      </c>
      <c r="J35">
        <v>0</v>
      </c>
      <c r="K35">
        <v>182370</v>
      </c>
      <c r="L35">
        <v>15179636</v>
      </c>
      <c r="M35" t="str">
        <f t="shared" si="0"/>
        <v>SEZ / Industrial Zone</v>
      </c>
      <c r="N35" t="str">
        <f t="shared" si="1"/>
        <v>October</v>
      </c>
    </row>
    <row r="36" spans="1:14" x14ac:dyDescent="0.3">
      <c r="A36">
        <v>7</v>
      </c>
      <c r="B36">
        <v>2022</v>
      </c>
      <c r="C36" t="s">
        <v>42</v>
      </c>
      <c r="D36">
        <v>33</v>
      </c>
      <c r="E36" t="s">
        <v>552</v>
      </c>
      <c r="F36" t="s">
        <v>190</v>
      </c>
      <c r="G36" t="s">
        <v>31</v>
      </c>
      <c r="H36" t="s">
        <v>32</v>
      </c>
      <c r="I36" t="s">
        <v>17</v>
      </c>
      <c r="J36">
        <v>0</v>
      </c>
      <c r="K36">
        <v>11551</v>
      </c>
      <c r="L36">
        <v>919496</v>
      </c>
      <c r="M36" t="str">
        <f t="shared" si="0"/>
        <v>Other</v>
      </c>
      <c r="N36" t="str">
        <f t="shared" si="1"/>
        <v>July</v>
      </c>
    </row>
    <row r="37" spans="1:14" x14ac:dyDescent="0.3">
      <c r="A37">
        <v>2</v>
      </c>
      <c r="B37">
        <v>2019</v>
      </c>
      <c r="C37" t="s">
        <v>42</v>
      </c>
      <c r="D37">
        <v>33</v>
      </c>
      <c r="E37" t="s">
        <v>111</v>
      </c>
      <c r="F37" t="s">
        <v>35</v>
      </c>
      <c r="G37" t="s">
        <v>77</v>
      </c>
      <c r="H37" t="s">
        <v>78</v>
      </c>
      <c r="I37" t="s">
        <v>17</v>
      </c>
      <c r="J37">
        <v>0</v>
      </c>
      <c r="K37">
        <v>93056</v>
      </c>
      <c r="L37">
        <v>6627629</v>
      </c>
      <c r="M37" t="str">
        <f t="shared" si="0"/>
        <v>Air Port</v>
      </c>
      <c r="N37" t="str">
        <f t="shared" si="1"/>
        <v>February</v>
      </c>
    </row>
    <row r="38" spans="1:14" x14ac:dyDescent="0.3">
      <c r="A38">
        <v>3</v>
      </c>
      <c r="B38">
        <v>2018</v>
      </c>
      <c r="C38" t="s">
        <v>42</v>
      </c>
      <c r="D38">
        <v>33</v>
      </c>
      <c r="E38" t="s">
        <v>67</v>
      </c>
      <c r="F38" t="s">
        <v>25</v>
      </c>
      <c r="G38" t="s">
        <v>86</v>
      </c>
      <c r="H38" t="s">
        <v>548</v>
      </c>
      <c r="I38" t="s">
        <v>17</v>
      </c>
      <c r="J38">
        <v>0</v>
      </c>
      <c r="K38">
        <v>133527</v>
      </c>
      <c r="L38">
        <v>8682115</v>
      </c>
      <c r="M38" t="str">
        <f t="shared" si="0"/>
        <v>ICD / Dry Port</v>
      </c>
      <c r="N38" t="str">
        <f t="shared" si="1"/>
        <v>March</v>
      </c>
    </row>
    <row r="39" spans="1:14" x14ac:dyDescent="0.3">
      <c r="A39">
        <v>9</v>
      </c>
      <c r="B39">
        <v>2019</v>
      </c>
      <c r="C39" t="s">
        <v>42</v>
      </c>
      <c r="D39">
        <v>33</v>
      </c>
      <c r="E39" t="s">
        <v>512</v>
      </c>
      <c r="F39" t="s">
        <v>35</v>
      </c>
      <c r="G39" t="s">
        <v>227</v>
      </c>
      <c r="H39" t="s">
        <v>228</v>
      </c>
      <c r="I39" t="s">
        <v>17</v>
      </c>
      <c r="J39">
        <v>0</v>
      </c>
      <c r="K39">
        <v>1812</v>
      </c>
      <c r="L39">
        <v>129234</v>
      </c>
      <c r="M39" t="str">
        <f t="shared" si="0"/>
        <v>Other</v>
      </c>
      <c r="N39" t="str">
        <f t="shared" si="1"/>
        <v>September</v>
      </c>
    </row>
    <row r="40" spans="1:14" x14ac:dyDescent="0.3">
      <c r="A40">
        <v>11</v>
      </c>
      <c r="B40">
        <v>2023</v>
      </c>
      <c r="C40" t="s">
        <v>42</v>
      </c>
      <c r="D40">
        <v>33</v>
      </c>
      <c r="E40" t="s">
        <v>513</v>
      </c>
      <c r="F40" t="s">
        <v>263</v>
      </c>
      <c r="G40" t="s">
        <v>21</v>
      </c>
      <c r="H40" t="s">
        <v>22</v>
      </c>
      <c r="I40" t="s">
        <v>17</v>
      </c>
      <c r="J40">
        <v>0</v>
      </c>
      <c r="K40">
        <v>52</v>
      </c>
      <c r="L40">
        <v>4304</v>
      </c>
      <c r="M40" t="str">
        <f t="shared" si="0"/>
        <v>SEZ / Industrial Zone</v>
      </c>
      <c r="N40" t="str">
        <f t="shared" si="1"/>
        <v>November</v>
      </c>
    </row>
    <row r="41" spans="1:14" x14ac:dyDescent="0.3">
      <c r="A41">
        <v>6</v>
      </c>
      <c r="B41">
        <v>2023</v>
      </c>
      <c r="C41" t="s">
        <v>42</v>
      </c>
      <c r="D41">
        <v>33</v>
      </c>
      <c r="E41" t="s">
        <v>54</v>
      </c>
      <c r="F41" t="s">
        <v>294</v>
      </c>
      <c r="G41" t="s">
        <v>258</v>
      </c>
      <c r="H41" t="s">
        <v>259</v>
      </c>
      <c r="I41" t="s">
        <v>17</v>
      </c>
      <c r="J41">
        <v>0</v>
      </c>
      <c r="K41">
        <v>911</v>
      </c>
      <c r="L41">
        <v>74893</v>
      </c>
      <c r="M41" t="str">
        <f t="shared" si="0"/>
        <v>Other</v>
      </c>
      <c r="N41" t="str">
        <f t="shared" si="1"/>
        <v>June</v>
      </c>
    </row>
    <row r="42" spans="1:14" x14ac:dyDescent="0.3">
      <c r="A42">
        <v>10</v>
      </c>
      <c r="B42">
        <v>2023</v>
      </c>
      <c r="C42" t="s">
        <v>42</v>
      </c>
      <c r="D42">
        <v>33</v>
      </c>
      <c r="E42" t="s">
        <v>111</v>
      </c>
      <c r="F42" t="s">
        <v>237</v>
      </c>
      <c r="G42" t="s">
        <v>135</v>
      </c>
      <c r="H42" t="s">
        <v>136</v>
      </c>
      <c r="I42" t="s">
        <v>17</v>
      </c>
      <c r="J42">
        <v>0</v>
      </c>
      <c r="K42">
        <v>8309</v>
      </c>
      <c r="L42">
        <v>691598</v>
      </c>
      <c r="M42" t="str">
        <f t="shared" si="0"/>
        <v>Air Port</v>
      </c>
      <c r="N42" t="str">
        <f t="shared" si="1"/>
        <v>October</v>
      </c>
    </row>
    <row r="43" spans="1:14" x14ac:dyDescent="0.3">
      <c r="A43">
        <v>1</v>
      </c>
      <c r="B43">
        <v>2020</v>
      </c>
      <c r="C43" t="s">
        <v>42</v>
      </c>
      <c r="D43">
        <v>33</v>
      </c>
      <c r="E43" t="s">
        <v>352</v>
      </c>
      <c r="F43" t="s">
        <v>320</v>
      </c>
      <c r="G43" t="s">
        <v>335</v>
      </c>
      <c r="H43" t="s">
        <v>507</v>
      </c>
      <c r="I43" t="s">
        <v>17</v>
      </c>
      <c r="J43">
        <v>0</v>
      </c>
      <c r="K43">
        <v>1588</v>
      </c>
      <c r="L43">
        <v>113256</v>
      </c>
      <c r="M43" t="str">
        <f t="shared" si="0"/>
        <v>SEZ / Industrial Zone</v>
      </c>
      <c r="N43" t="str">
        <f t="shared" si="1"/>
        <v>January</v>
      </c>
    </row>
    <row r="44" spans="1:14" x14ac:dyDescent="0.3">
      <c r="A44">
        <v>5</v>
      </c>
      <c r="B44">
        <v>2024</v>
      </c>
      <c r="C44" t="s">
        <v>42</v>
      </c>
      <c r="D44">
        <v>33</v>
      </c>
      <c r="E44" t="s">
        <v>111</v>
      </c>
      <c r="F44" t="s">
        <v>551</v>
      </c>
      <c r="G44" t="s">
        <v>36</v>
      </c>
      <c r="H44" t="s">
        <v>37</v>
      </c>
      <c r="I44" t="s">
        <v>17</v>
      </c>
      <c r="J44">
        <v>0</v>
      </c>
      <c r="K44">
        <v>302810</v>
      </c>
      <c r="L44">
        <v>25254202</v>
      </c>
      <c r="M44" t="str">
        <f t="shared" si="0"/>
        <v>Air Port</v>
      </c>
      <c r="N44" t="str">
        <f t="shared" si="1"/>
        <v>May</v>
      </c>
    </row>
    <row r="45" spans="1:14" x14ac:dyDescent="0.3">
      <c r="A45">
        <v>2</v>
      </c>
      <c r="B45">
        <v>2021</v>
      </c>
      <c r="C45" t="s">
        <v>42</v>
      </c>
      <c r="D45">
        <v>33</v>
      </c>
      <c r="E45" t="s">
        <v>238</v>
      </c>
      <c r="F45" t="s">
        <v>153</v>
      </c>
      <c r="G45" t="s">
        <v>21</v>
      </c>
      <c r="H45" t="s">
        <v>22</v>
      </c>
      <c r="I45" t="s">
        <v>17</v>
      </c>
      <c r="J45">
        <v>0</v>
      </c>
      <c r="K45">
        <v>5978558</v>
      </c>
      <c r="L45">
        <v>434978943</v>
      </c>
      <c r="M45" t="str">
        <f t="shared" si="0"/>
        <v>Sea Port</v>
      </c>
      <c r="N45" t="str">
        <f t="shared" si="1"/>
        <v>February</v>
      </c>
    </row>
    <row r="46" spans="1:14" x14ac:dyDescent="0.3">
      <c r="A46">
        <v>4</v>
      </c>
      <c r="B46">
        <v>2023</v>
      </c>
      <c r="C46" t="s">
        <v>42</v>
      </c>
      <c r="D46">
        <v>33</v>
      </c>
      <c r="E46" t="s">
        <v>43</v>
      </c>
      <c r="F46" t="s">
        <v>118</v>
      </c>
      <c r="G46" t="s">
        <v>31</v>
      </c>
      <c r="H46" t="s">
        <v>32</v>
      </c>
      <c r="I46" t="s">
        <v>17</v>
      </c>
      <c r="J46">
        <v>0</v>
      </c>
      <c r="K46">
        <v>1206</v>
      </c>
      <c r="L46">
        <v>98956</v>
      </c>
      <c r="M46" t="str">
        <f t="shared" si="0"/>
        <v>Sea Port</v>
      </c>
      <c r="N46" t="str">
        <f t="shared" si="1"/>
        <v>April</v>
      </c>
    </row>
    <row r="47" spans="1:14" x14ac:dyDescent="0.3">
      <c r="A47">
        <v>6</v>
      </c>
      <c r="B47">
        <v>2018</v>
      </c>
      <c r="C47" t="s">
        <v>42</v>
      </c>
      <c r="D47">
        <v>33</v>
      </c>
      <c r="E47" t="s">
        <v>352</v>
      </c>
      <c r="F47" t="s">
        <v>90</v>
      </c>
      <c r="G47" t="s">
        <v>123</v>
      </c>
      <c r="H47" t="s">
        <v>553</v>
      </c>
      <c r="I47" t="s">
        <v>17</v>
      </c>
      <c r="J47">
        <v>0</v>
      </c>
      <c r="K47">
        <v>494</v>
      </c>
      <c r="L47">
        <v>33517</v>
      </c>
      <c r="M47" t="str">
        <f t="shared" si="0"/>
        <v>SEZ / Industrial Zone</v>
      </c>
      <c r="N47" t="str">
        <f t="shared" si="1"/>
        <v>June</v>
      </c>
    </row>
    <row r="48" spans="1:14" x14ac:dyDescent="0.3">
      <c r="A48">
        <v>7</v>
      </c>
      <c r="B48">
        <v>2020</v>
      </c>
      <c r="C48" t="s">
        <v>42</v>
      </c>
      <c r="D48">
        <v>33</v>
      </c>
      <c r="E48" t="s">
        <v>152</v>
      </c>
      <c r="F48" t="s">
        <v>251</v>
      </c>
      <c r="G48" t="s">
        <v>86</v>
      </c>
      <c r="H48" t="s">
        <v>548</v>
      </c>
      <c r="I48" t="s">
        <v>17</v>
      </c>
      <c r="J48">
        <v>0</v>
      </c>
      <c r="K48">
        <v>521768</v>
      </c>
      <c r="L48">
        <v>39129175</v>
      </c>
      <c r="M48" t="str">
        <f t="shared" si="0"/>
        <v>ICD / Dry Port</v>
      </c>
      <c r="N48" t="str">
        <f t="shared" si="1"/>
        <v>July</v>
      </c>
    </row>
    <row r="49" spans="1:14" x14ac:dyDescent="0.3">
      <c r="A49">
        <v>9</v>
      </c>
      <c r="B49">
        <v>2021</v>
      </c>
      <c r="C49" t="s">
        <v>42</v>
      </c>
      <c r="D49">
        <v>33</v>
      </c>
      <c r="E49" t="s">
        <v>264</v>
      </c>
      <c r="F49" t="s">
        <v>265</v>
      </c>
      <c r="G49" t="s">
        <v>140</v>
      </c>
      <c r="H49" t="s">
        <v>554</v>
      </c>
      <c r="I49" t="s">
        <v>17</v>
      </c>
      <c r="J49">
        <v>0</v>
      </c>
      <c r="K49">
        <v>6540</v>
      </c>
      <c r="L49">
        <v>481087</v>
      </c>
      <c r="M49" t="str">
        <f t="shared" si="0"/>
        <v>SEZ / Industrial Zone</v>
      </c>
      <c r="N49" t="str">
        <f t="shared" si="1"/>
        <v>September</v>
      </c>
    </row>
    <row r="50" spans="1:14" x14ac:dyDescent="0.3">
      <c r="A50">
        <v>9</v>
      </c>
      <c r="B50">
        <v>2018</v>
      </c>
      <c r="C50" t="s">
        <v>42</v>
      </c>
      <c r="D50">
        <v>33</v>
      </c>
      <c r="E50" t="s">
        <v>54</v>
      </c>
      <c r="F50" t="s">
        <v>142</v>
      </c>
      <c r="G50" t="s">
        <v>282</v>
      </c>
      <c r="H50" t="s">
        <v>283</v>
      </c>
      <c r="I50" t="s">
        <v>17</v>
      </c>
      <c r="J50">
        <v>0</v>
      </c>
      <c r="K50">
        <v>301972</v>
      </c>
      <c r="L50">
        <v>21806999</v>
      </c>
      <c r="M50" t="str">
        <f t="shared" si="0"/>
        <v>Other</v>
      </c>
      <c r="N50" t="str">
        <f t="shared" si="1"/>
        <v>September</v>
      </c>
    </row>
    <row r="51" spans="1:14" x14ac:dyDescent="0.3">
      <c r="A51">
        <v>4</v>
      </c>
      <c r="B51">
        <v>2019</v>
      </c>
      <c r="C51" t="s">
        <v>42</v>
      </c>
      <c r="D51">
        <v>33</v>
      </c>
      <c r="E51" t="s">
        <v>352</v>
      </c>
      <c r="F51" t="s">
        <v>118</v>
      </c>
      <c r="G51" t="s">
        <v>157</v>
      </c>
      <c r="H51" t="s">
        <v>158</v>
      </c>
      <c r="I51" t="s">
        <v>17</v>
      </c>
      <c r="J51">
        <v>0</v>
      </c>
      <c r="K51">
        <v>58253</v>
      </c>
      <c r="L51">
        <v>4044373</v>
      </c>
      <c r="M51" t="str">
        <f t="shared" si="0"/>
        <v>SEZ / Industrial Zone</v>
      </c>
      <c r="N51" t="str">
        <f t="shared" si="1"/>
        <v>April</v>
      </c>
    </row>
    <row r="52" spans="1:14" x14ac:dyDescent="0.3">
      <c r="A52">
        <v>1</v>
      </c>
      <c r="B52">
        <v>2020</v>
      </c>
      <c r="C52" t="s">
        <v>42</v>
      </c>
      <c r="D52">
        <v>33</v>
      </c>
      <c r="E52" t="s">
        <v>43</v>
      </c>
      <c r="F52" t="s">
        <v>90</v>
      </c>
      <c r="G52" t="s">
        <v>15</v>
      </c>
      <c r="H52" t="s">
        <v>359</v>
      </c>
      <c r="I52" t="s">
        <v>17</v>
      </c>
      <c r="J52">
        <v>0</v>
      </c>
      <c r="K52">
        <v>16762421</v>
      </c>
      <c r="L52">
        <v>1195391973</v>
      </c>
      <c r="M52" t="str">
        <f t="shared" si="0"/>
        <v>Sea Port</v>
      </c>
      <c r="N52" t="str">
        <f t="shared" si="1"/>
        <v>January</v>
      </c>
    </row>
    <row r="53" spans="1:14" x14ac:dyDescent="0.3">
      <c r="A53">
        <v>4</v>
      </c>
      <c r="B53">
        <v>2018</v>
      </c>
      <c r="C53" t="s">
        <v>42</v>
      </c>
      <c r="D53">
        <v>33</v>
      </c>
      <c r="E53" t="s">
        <v>43</v>
      </c>
      <c r="F53" t="s">
        <v>241</v>
      </c>
      <c r="G53" t="s">
        <v>92</v>
      </c>
      <c r="H53" t="s">
        <v>93</v>
      </c>
      <c r="I53" t="s">
        <v>17</v>
      </c>
      <c r="J53">
        <v>0</v>
      </c>
      <c r="K53">
        <v>7340241</v>
      </c>
      <c r="L53">
        <v>481786245</v>
      </c>
      <c r="M53" t="str">
        <f t="shared" si="0"/>
        <v>Sea Port</v>
      </c>
      <c r="N53" t="str">
        <f t="shared" si="1"/>
        <v>April</v>
      </c>
    </row>
    <row r="54" spans="1:14" x14ac:dyDescent="0.3">
      <c r="A54">
        <v>3</v>
      </c>
      <c r="B54">
        <v>2024</v>
      </c>
      <c r="C54" t="s">
        <v>42</v>
      </c>
      <c r="D54">
        <v>33</v>
      </c>
      <c r="E54" t="s">
        <v>43</v>
      </c>
      <c r="F54" t="s">
        <v>167</v>
      </c>
      <c r="G54" t="s">
        <v>56</v>
      </c>
      <c r="H54" t="s">
        <v>57</v>
      </c>
      <c r="I54" t="s">
        <v>17</v>
      </c>
      <c r="J54">
        <v>0</v>
      </c>
      <c r="K54">
        <v>10857908</v>
      </c>
      <c r="L54">
        <v>901180238</v>
      </c>
      <c r="M54" t="str">
        <f t="shared" si="0"/>
        <v>Sea Port</v>
      </c>
      <c r="N54" t="str">
        <f t="shared" si="1"/>
        <v>March</v>
      </c>
    </row>
    <row r="55" spans="1:14" x14ac:dyDescent="0.3">
      <c r="A55">
        <v>11</v>
      </c>
      <c r="B55">
        <v>2021</v>
      </c>
      <c r="C55" t="s">
        <v>42</v>
      </c>
      <c r="D55">
        <v>33</v>
      </c>
      <c r="E55" t="s">
        <v>255</v>
      </c>
      <c r="F55" t="s">
        <v>35</v>
      </c>
      <c r="G55" t="s">
        <v>227</v>
      </c>
      <c r="H55" t="s">
        <v>228</v>
      </c>
      <c r="I55" t="s">
        <v>17</v>
      </c>
      <c r="J55">
        <v>0</v>
      </c>
      <c r="K55">
        <v>16605</v>
      </c>
      <c r="L55">
        <v>1237029</v>
      </c>
      <c r="M55" t="str">
        <f t="shared" si="0"/>
        <v>SEZ / Industrial Zone</v>
      </c>
      <c r="N55" t="str">
        <f t="shared" si="1"/>
        <v>November</v>
      </c>
    </row>
    <row r="56" spans="1:14" x14ac:dyDescent="0.3">
      <c r="A56">
        <v>1</v>
      </c>
      <c r="B56">
        <v>2019</v>
      </c>
      <c r="C56" t="s">
        <v>42</v>
      </c>
      <c r="D56">
        <v>33</v>
      </c>
      <c r="E56" t="s">
        <v>111</v>
      </c>
      <c r="F56" t="s">
        <v>30</v>
      </c>
      <c r="G56" t="s">
        <v>99</v>
      </c>
      <c r="H56" t="s">
        <v>549</v>
      </c>
      <c r="I56" t="s">
        <v>17</v>
      </c>
      <c r="J56">
        <v>0</v>
      </c>
      <c r="K56">
        <v>451940</v>
      </c>
      <c r="L56">
        <v>31967004</v>
      </c>
      <c r="M56" t="str">
        <f t="shared" si="0"/>
        <v>Air Port</v>
      </c>
      <c r="N56" t="str">
        <f t="shared" si="1"/>
        <v>January</v>
      </c>
    </row>
    <row r="57" spans="1:14" x14ac:dyDescent="0.3">
      <c r="A57">
        <v>4</v>
      </c>
      <c r="B57">
        <v>2018</v>
      </c>
      <c r="C57" t="s">
        <v>42</v>
      </c>
      <c r="D57">
        <v>33</v>
      </c>
      <c r="E57" t="s">
        <v>55</v>
      </c>
      <c r="F57" t="s">
        <v>90</v>
      </c>
      <c r="G57" t="s">
        <v>52</v>
      </c>
      <c r="H57" t="s">
        <v>53</v>
      </c>
      <c r="I57" t="s">
        <v>17</v>
      </c>
      <c r="J57">
        <v>0</v>
      </c>
      <c r="K57">
        <v>21904</v>
      </c>
      <c r="L57">
        <v>1437717</v>
      </c>
      <c r="M57" t="str">
        <f t="shared" si="0"/>
        <v>SEZ / Industrial Zone</v>
      </c>
      <c r="N57" t="str">
        <f t="shared" si="1"/>
        <v>April</v>
      </c>
    </row>
    <row r="58" spans="1:14" x14ac:dyDescent="0.3">
      <c r="A58">
        <v>2</v>
      </c>
      <c r="B58">
        <v>2022</v>
      </c>
      <c r="C58" t="s">
        <v>42</v>
      </c>
      <c r="D58">
        <v>33</v>
      </c>
      <c r="E58" t="s">
        <v>513</v>
      </c>
      <c r="F58" t="s">
        <v>14</v>
      </c>
      <c r="G58" t="s">
        <v>195</v>
      </c>
      <c r="H58" t="s">
        <v>196</v>
      </c>
      <c r="I58" t="s">
        <v>17</v>
      </c>
      <c r="J58">
        <v>0</v>
      </c>
      <c r="K58">
        <v>160909</v>
      </c>
      <c r="L58">
        <v>12068679</v>
      </c>
      <c r="M58" t="str">
        <f t="shared" si="0"/>
        <v>SEZ / Industrial Zone</v>
      </c>
      <c r="N58" t="str">
        <f t="shared" si="1"/>
        <v>February</v>
      </c>
    </row>
    <row r="59" spans="1:14" x14ac:dyDescent="0.3">
      <c r="A59">
        <v>6</v>
      </c>
      <c r="B59">
        <v>2023</v>
      </c>
      <c r="C59" t="s">
        <v>42</v>
      </c>
      <c r="D59">
        <v>33</v>
      </c>
      <c r="E59" t="s">
        <v>223</v>
      </c>
      <c r="F59" t="s">
        <v>263</v>
      </c>
      <c r="G59" t="s">
        <v>31</v>
      </c>
      <c r="H59" t="s">
        <v>32</v>
      </c>
      <c r="I59" t="s">
        <v>17</v>
      </c>
      <c r="J59">
        <v>0</v>
      </c>
      <c r="K59">
        <v>1067</v>
      </c>
      <c r="L59">
        <v>87774</v>
      </c>
      <c r="M59" t="str">
        <f t="shared" si="0"/>
        <v>Sea Port</v>
      </c>
      <c r="N59" t="str">
        <f t="shared" si="1"/>
        <v>June</v>
      </c>
    </row>
    <row r="60" spans="1:14" x14ac:dyDescent="0.3">
      <c r="A60">
        <v>10</v>
      </c>
      <c r="B60">
        <v>2021</v>
      </c>
      <c r="C60" t="s">
        <v>42</v>
      </c>
      <c r="D60">
        <v>33</v>
      </c>
      <c r="E60" t="s">
        <v>555</v>
      </c>
      <c r="F60" t="s">
        <v>153</v>
      </c>
      <c r="G60" t="s">
        <v>258</v>
      </c>
      <c r="H60" t="s">
        <v>259</v>
      </c>
      <c r="I60" t="s">
        <v>17</v>
      </c>
      <c r="J60">
        <v>0</v>
      </c>
      <c r="K60">
        <v>7253</v>
      </c>
      <c r="L60">
        <v>543373</v>
      </c>
      <c r="M60" t="str">
        <f t="shared" si="0"/>
        <v>Other</v>
      </c>
      <c r="N60" t="str">
        <f t="shared" si="1"/>
        <v>October</v>
      </c>
    </row>
    <row r="61" spans="1:14" x14ac:dyDescent="0.3">
      <c r="A61">
        <v>3</v>
      </c>
      <c r="B61">
        <v>2024</v>
      </c>
      <c r="C61" t="s">
        <v>42</v>
      </c>
      <c r="D61">
        <v>33</v>
      </c>
      <c r="E61" t="s">
        <v>43</v>
      </c>
      <c r="F61" t="s">
        <v>515</v>
      </c>
      <c r="G61" t="s">
        <v>77</v>
      </c>
      <c r="H61" t="s">
        <v>78</v>
      </c>
      <c r="I61" t="s">
        <v>17</v>
      </c>
      <c r="J61">
        <v>0</v>
      </c>
      <c r="K61">
        <v>29874</v>
      </c>
      <c r="L61">
        <v>2479481</v>
      </c>
      <c r="M61" t="str">
        <f t="shared" si="0"/>
        <v>Sea Port</v>
      </c>
      <c r="N61" t="str">
        <f t="shared" si="1"/>
        <v>March</v>
      </c>
    </row>
    <row r="62" spans="1:14" x14ac:dyDescent="0.3">
      <c r="A62">
        <v>10</v>
      </c>
      <c r="B62">
        <v>2019</v>
      </c>
      <c r="C62" t="s">
        <v>42</v>
      </c>
      <c r="D62">
        <v>33</v>
      </c>
      <c r="E62" t="s">
        <v>238</v>
      </c>
      <c r="F62" t="s">
        <v>90</v>
      </c>
      <c r="G62" t="s">
        <v>99</v>
      </c>
      <c r="H62" t="s">
        <v>549</v>
      </c>
      <c r="I62" t="s">
        <v>17</v>
      </c>
      <c r="J62">
        <v>0</v>
      </c>
      <c r="K62">
        <v>811169</v>
      </c>
      <c r="L62">
        <v>57624929</v>
      </c>
      <c r="M62" t="str">
        <f t="shared" si="0"/>
        <v>Sea Port</v>
      </c>
      <c r="N62" t="str">
        <f t="shared" si="1"/>
        <v>October</v>
      </c>
    </row>
    <row r="63" spans="1:14" x14ac:dyDescent="0.3">
      <c r="A63">
        <v>2</v>
      </c>
      <c r="B63">
        <v>2020</v>
      </c>
      <c r="C63" t="s">
        <v>42</v>
      </c>
      <c r="D63">
        <v>33</v>
      </c>
      <c r="E63" t="s">
        <v>43</v>
      </c>
      <c r="F63" t="s">
        <v>263</v>
      </c>
      <c r="G63" t="s">
        <v>116</v>
      </c>
      <c r="H63" t="s">
        <v>117</v>
      </c>
      <c r="I63" t="s">
        <v>17</v>
      </c>
      <c r="J63">
        <v>0</v>
      </c>
      <c r="K63">
        <v>30226</v>
      </c>
      <c r="L63">
        <v>2160840</v>
      </c>
      <c r="M63" t="str">
        <f t="shared" si="0"/>
        <v>Sea Port</v>
      </c>
      <c r="N63" t="str">
        <f t="shared" si="1"/>
        <v>February</v>
      </c>
    </row>
    <row r="64" spans="1:14" x14ac:dyDescent="0.3">
      <c r="A64">
        <v>11</v>
      </c>
      <c r="B64">
        <v>2018</v>
      </c>
      <c r="C64" t="s">
        <v>42</v>
      </c>
      <c r="D64">
        <v>33</v>
      </c>
      <c r="E64" t="s">
        <v>67</v>
      </c>
      <c r="F64" t="s">
        <v>237</v>
      </c>
      <c r="G64" t="s">
        <v>121</v>
      </c>
      <c r="H64" t="s">
        <v>122</v>
      </c>
      <c r="I64" t="s">
        <v>17</v>
      </c>
      <c r="J64">
        <v>0</v>
      </c>
      <c r="K64">
        <v>114</v>
      </c>
      <c r="L64">
        <v>8181</v>
      </c>
      <c r="M64" t="str">
        <f t="shared" si="0"/>
        <v>ICD / Dry Port</v>
      </c>
      <c r="N64" t="str">
        <f t="shared" si="1"/>
        <v>November</v>
      </c>
    </row>
    <row r="65" spans="1:14" x14ac:dyDescent="0.3">
      <c r="A65">
        <v>2</v>
      </c>
      <c r="B65">
        <v>2023</v>
      </c>
      <c r="C65" t="s">
        <v>42</v>
      </c>
      <c r="D65">
        <v>33</v>
      </c>
      <c r="E65" t="s">
        <v>111</v>
      </c>
      <c r="F65" t="s">
        <v>350</v>
      </c>
      <c r="G65" t="s">
        <v>36</v>
      </c>
      <c r="H65" t="s">
        <v>37</v>
      </c>
      <c r="I65" t="s">
        <v>17</v>
      </c>
      <c r="J65">
        <v>0</v>
      </c>
      <c r="K65">
        <v>114858</v>
      </c>
      <c r="L65">
        <v>9488300</v>
      </c>
      <c r="M65" t="str">
        <f t="shared" si="0"/>
        <v>Air Port</v>
      </c>
      <c r="N65" t="str">
        <f t="shared" si="1"/>
        <v>February</v>
      </c>
    </row>
    <row r="66" spans="1:14" x14ac:dyDescent="0.3">
      <c r="A66">
        <v>4</v>
      </c>
      <c r="B66">
        <v>2020</v>
      </c>
      <c r="C66" t="s">
        <v>42</v>
      </c>
      <c r="D66">
        <v>33</v>
      </c>
      <c r="E66" t="s">
        <v>43</v>
      </c>
      <c r="F66" t="s">
        <v>190</v>
      </c>
      <c r="G66" t="s">
        <v>99</v>
      </c>
      <c r="H66" t="s">
        <v>549</v>
      </c>
      <c r="I66" t="s">
        <v>17</v>
      </c>
      <c r="J66">
        <v>0</v>
      </c>
      <c r="K66">
        <v>12527</v>
      </c>
      <c r="L66">
        <v>955042</v>
      </c>
      <c r="M66" t="str">
        <f t="shared" ref="M66:M129" si="2">IF(OR(ISNUMBER(SEARCH("ICD",E66)),ISNUMBER(SEARCH("Dry Port",E66))),"ICD / Dry Port", IF(OR(ISNUMBER(SEARCH("Sea",E66)),ISNUMBER(SEARCH("Port",E66))),"Sea Port", IF(OR(ISNUMBER(SEARCH("Air",E66)),ISNUMBER(SEARCH("Airport",E66))),"Air Port", IF(ISNUMBER(SEARCH("CFS",E66)),"CFS", IF(OR(ISNUMBER(SEARCH("SEZ",E66)),ISNUMBER(SEARCH("EPZ",E66)),ISNUMBER(SEARCH("FTWZ",E66)),ISNUMBER(SEARCH("City",E66)),ISNUMBER(SEARCH("Park",E66))),"SEZ / Industrial Zone", IF(OR(ISNUMBER(SEARCH("Land",E66)),ISNUMBER(SEARCH("LCS",E66)),ISNUMBER(SEARCH("Rly",E66))),"Land Port", "Other"))))))</f>
        <v>Sea Port</v>
      </c>
      <c r="N66" t="str">
        <f t="shared" si="1"/>
        <v>April</v>
      </c>
    </row>
    <row r="67" spans="1:14" x14ac:dyDescent="0.3">
      <c r="A67">
        <v>9</v>
      </c>
      <c r="B67">
        <v>2019</v>
      </c>
      <c r="C67" t="s">
        <v>42</v>
      </c>
      <c r="D67">
        <v>33</v>
      </c>
      <c r="E67" t="s">
        <v>513</v>
      </c>
      <c r="F67" t="s">
        <v>90</v>
      </c>
      <c r="G67" t="s">
        <v>121</v>
      </c>
      <c r="H67" t="s">
        <v>122</v>
      </c>
      <c r="I67" t="s">
        <v>17</v>
      </c>
      <c r="J67">
        <v>0</v>
      </c>
      <c r="K67">
        <v>23</v>
      </c>
      <c r="L67">
        <v>1655</v>
      </c>
      <c r="M67" t="str">
        <f t="shared" si="2"/>
        <v>SEZ / Industrial Zone</v>
      </c>
      <c r="N67" t="str">
        <f t="shared" ref="N67:N130" si="3">TEXT(DATE(2024, A67, 1), "mmmm")</f>
        <v>September</v>
      </c>
    </row>
    <row r="68" spans="1:14" x14ac:dyDescent="0.3">
      <c r="A68">
        <v>2</v>
      </c>
      <c r="B68">
        <v>2022</v>
      </c>
      <c r="C68" t="s">
        <v>42</v>
      </c>
      <c r="D68">
        <v>33</v>
      </c>
      <c r="E68" t="s">
        <v>223</v>
      </c>
      <c r="F68" t="s">
        <v>90</v>
      </c>
      <c r="G68" t="s">
        <v>127</v>
      </c>
      <c r="H68" t="s">
        <v>128</v>
      </c>
      <c r="I68" t="s">
        <v>17</v>
      </c>
      <c r="J68">
        <v>0</v>
      </c>
      <c r="K68">
        <v>1072015</v>
      </c>
      <c r="L68">
        <v>80404446</v>
      </c>
      <c r="M68" t="str">
        <f t="shared" si="2"/>
        <v>Sea Port</v>
      </c>
      <c r="N68" t="str">
        <f t="shared" si="3"/>
        <v>February</v>
      </c>
    </row>
    <row r="69" spans="1:14" x14ac:dyDescent="0.3">
      <c r="A69">
        <v>6</v>
      </c>
      <c r="B69">
        <v>2021</v>
      </c>
      <c r="C69" t="s">
        <v>58</v>
      </c>
      <c r="D69">
        <v>27</v>
      </c>
      <c r="E69" t="s">
        <v>556</v>
      </c>
      <c r="F69" t="s">
        <v>265</v>
      </c>
      <c r="G69" t="s">
        <v>26</v>
      </c>
      <c r="H69" t="s">
        <v>27</v>
      </c>
      <c r="I69" t="s">
        <v>17</v>
      </c>
      <c r="J69">
        <v>0</v>
      </c>
      <c r="K69">
        <v>229108</v>
      </c>
      <c r="L69">
        <v>16852802</v>
      </c>
      <c r="M69" t="str">
        <f t="shared" si="2"/>
        <v>SEZ / Industrial Zone</v>
      </c>
      <c r="N69" t="str">
        <f t="shared" si="3"/>
        <v>June</v>
      </c>
    </row>
    <row r="70" spans="1:14" x14ac:dyDescent="0.3">
      <c r="A70">
        <v>3</v>
      </c>
      <c r="B70">
        <v>2019</v>
      </c>
      <c r="C70" t="s">
        <v>18</v>
      </c>
      <c r="D70">
        <v>6</v>
      </c>
      <c r="E70" t="s">
        <v>166</v>
      </c>
      <c r="F70" t="s">
        <v>90</v>
      </c>
      <c r="G70" t="s">
        <v>56</v>
      </c>
      <c r="H70" t="s">
        <v>57</v>
      </c>
      <c r="I70" t="s">
        <v>17</v>
      </c>
      <c r="J70">
        <v>0</v>
      </c>
      <c r="K70">
        <v>5140</v>
      </c>
      <c r="L70">
        <v>357108</v>
      </c>
      <c r="M70" t="str">
        <f t="shared" si="2"/>
        <v>ICD / Dry Port</v>
      </c>
      <c r="N70" t="str">
        <f t="shared" si="3"/>
        <v>March</v>
      </c>
    </row>
    <row r="71" spans="1:14" x14ac:dyDescent="0.3">
      <c r="A71">
        <v>3</v>
      </c>
      <c r="B71">
        <v>2022</v>
      </c>
      <c r="C71" t="s">
        <v>23</v>
      </c>
      <c r="D71">
        <v>24</v>
      </c>
      <c r="E71" t="s">
        <v>218</v>
      </c>
      <c r="F71" t="s">
        <v>25</v>
      </c>
      <c r="G71" t="s">
        <v>86</v>
      </c>
      <c r="H71" t="s">
        <v>548</v>
      </c>
      <c r="I71" t="s">
        <v>17</v>
      </c>
      <c r="J71">
        <v>0</v>
      </c>
      <c r="K71">
        <v>33974</v>
      </c>
      <c r="L71">
        <v>2590324</v>
      </c>
      <c r="M71" t="str">
        <f t="shared" si="2"/>
        <v>Air Port</v>
      </c>
      <c r="N71" t="str">
        <f t="shared" si="3"/>
        <v>March</v>
      </c>
    </row>
    <row r="72" spans="1:14" x14ac:dyDescent="0.3">
      <c r="A72">
        <v>5</v>
      </c>
      <c r="B72">
        <v>2019</v>
      </c>
      <c r="C72" t="s">
        <v>47</v>
      </c>
      <c r="D72">
        <v>7</v>
      </c>
      <c r="E72" t="s">
        <v>509</v>
      </c>
      <c r="F72" t="s">
        <v>35</v>
      </c>
      <c r="G72" t="s">
        <v>278</v>
      </c>
      <c r="H72" t="s">
        <v>279</v>
      </c>
      <c r="I72" t="s">
        <v>17</v>
      </c>
      <c r="J72">
        <v>0</v>
      </c>
      <c r="K72">
        <v>5362</v>
      </c>
      <c r="L72">
        <v>374138</v>
      </c>
      <c r="M72" t="str">
        <f t="shared" si="2"/>
        <v>CFS</v>
      </c>
      <c r="N72" t="str">
        <f t="shared" si="3"/>
        <v>May</v>
      </c>
    </row>
    <row r="73" spans="1:14" x14ac:dyDescent="0.3">
      <c r="A73">
        <v>11</v>
      </c>
      <c r="B73">
        <v>2020</v>
      </c>
      <c r="C73" t="s">
        <v>58</v>
      </c>
      <c r="D73">
        <v>27</v>
      </c>
      <c r="E73" t="s">
        <v>59</v>
      </c>
      <c r="F73" t="s">
        <v>251</v>
      </c>
      <c r="G73" t="s">
        <v>195</v>
      </c>
      <c r="H73" t="s">
        <v>196</v>
      </c>
      <c r="I73" t="s">
        <v>17</v>
      </c>
      <c r="J73">
        <v>0</v>
      </c>
      <c r="K73">
        <v>792299</v>
      </c>
      <c r="L73">
        <v>58804240</v>
      </c>
      <c r="M73" t="str">
        <f t="shared" si="2"/>
        <v>Sea Port</v>
      </c>
      <c r="N73" t="str">
        <f t="shared" si="3"/>
        <v>November</v>
      </c>
    </row>
    <row r="74" spans="1:14" x14ac:dyDescent="0.3">
      <c r="A74">
        <v>8</v>
      </c>
      <c r="B74">
        <v>2022</v>
      </c>
      <c r="C74" t="s">
        <v>18</v>
      </c>
      <c r="D74">
        <v>6</v>
      </c>
      <c r="E74" t="s">
        <v>254</v>
      </c>
      <c r="F74" t="s">
        <v>20</v>
      </c>
      <c r="G74" t="s">
        <v>146</v>
      </c>
      <c r="H74" t="s">
        <v>147</v>
      </c>
      <c r="I74" t="s">
        <v>17</v>
      </c>
      <c r="J74">
        <v>0</v>
      </c>
      <c r="K74">
        <v>225215</v>
      </c>
      <c r="L74">
        <v>17916947</v>
      </c>
      <c r="M74" t="str">
        <f t="shared" si="2"/>
        <v>ICD / Dry Port</v>
      </c>
      <c r="N74" t="str">
        <f t="shared" si="3"/>
        <v>August</v>
      </c>
    </row>
    <row r="75" spans="1:14" x14ac:dyDescent="0.3">
      <c r="A75">
        <v>5</v>
      </c>
      <c r="B75">
        <v>2024</v>
      </c>
      <c r="C75" t="s">
        <v>58</v>
      </c>
      <c r="D75">
        <v>27</v>
      </c>
      <c r="E75" t="s">
        <v>125</v>
      </c>
      <c r="F75" t="s">
        <v>557</v>
      </c>
      <c r="G75" t="s">
        <v>26</v>
      </c>
      <c r="H75" t="s">
        <v>27</v>
      </c>
      <c r="I75" t="s">
        <v>17</v>
      </c>
      <c r="J75">
        <v>0</v>
      </c>
      <c r="K75">
        <v>2217</v>
      </c>
      <c r="L75">
        <v>184871</v>
      </c>
      <c r="M75" t="str">
        <f t="shared" si="2"/>
        <v>Air Port</v>
      </c>
      <c r="N75" t="str">
        <f t="shared" si="3"/>
        <v>May</v>
      </c>
    </row>
    <row r="76" spans="1:14" x14ac:dyDescent="0.3">
      <c r="A76">
        <v>1</v>
      </c>
      <c r="B76">
        <v>2019</v>
      </c>
      <c r="C76" t="s">
        <v>79</v>
      </c>
      <c r="D76">
        <v>9</v>
      </c>
      <c r="E76" t="s">
        <v>351</v>
      </c>
      <c r="F76" t="s">
        <v>35</v>
      </c>
      <c r="G76" t="s">
        <v>282</v>
      </c>
      <c r="H76" t="s">
        <v>283</v>
      </c>
      <c r="I76" t="s">
        <v>17</v>
      </c>
      <c r="J76">
        <v>0</v>
      </c>
      <c r="K76">
        <v>157321</v>
      </c>
      <c r="L76">
        <v>11127802</v>
      </c>
      <c r="M76" t="str">
        <f t="shared" si="2"/>
        <v>ICD / Dry Port</v>
      </c>
      <c r="N76" t="str">
        <f t="shared" si="3"/>
        <v>January</v>
      </c>
    </row>
    <row r="77" spans="1:14" x14ac:dyDescent="0.3">
      <c r="A77">
        <v>8</v>
      </c>
      <c r="B77">
        <v>2020</v>
      </c>
      <c r="C77" t="s">
        <v>63</v>
      </c>
      <c r="D77">
        <v>23</v>
      </c>
      <c r="E77" t="s">
        <v>119</v>
      </c>
      <c r="F77" t="s">
        <v>90</v>
      </c>
      <c r="G77" t="s">
        <v>99</v>
      </c>
      <c r="H77" t="s">
        <v>549</v>
      </c>
      <c r="I77" t="s">
        <v>17</v>
      </c>
      <c r="J77">
        <v>0</v>
      </c>
      <c r="K77">
        <v>24845</v>
      </c>
      <c r="L77">
        <v>1855244</v>
      </c>
      <c r="M77" t="str">
        <f t="shared" si="2"/>
        <v>ICD / Dry Port</v>
      </c>
      <c r="N77" t="str">
        <f t="shared" si="3"/>
        <v>August</v>
      </c>
    </row>
    <row r="78" spans="1:14" x14ac:dyDescent="0.3">
      <c r="A78">
        <v>6</v>
      </c>
      <c r="B78">
        <v>2018</v>
      </c>
      <c r="C78" t="s">
        <v>58</v>
      </c>
      <c r="D78">
        <v>27</v>
      </c>
      <c r="E78" t="s">
        <v>59</v>
      </c>
      <c r="F78" t="s">
        <v>68</v>
      </c>
      <c r="G78" t="s">
        <v>86</v>
      </c>
      <c r="H78" t="s">
        <v>548</v>
      </c>
      <c r="I78" t="s">
        <v>17</v>
      </c>
      <c r="J78">
        <v>0</v>
      </c>
      <c r="K78">
        <v>997953</v>
      </c>
      <c r="L78">
        <v>67654333</v>
      </c>
      <c r="M78" t="str">
        <f t="shared" si="2"/>
        <v>Sea Port</v>
      </c>
      <c r="N78" t="str">
        <f t="shared" si="3"/>
        <v>June</v>
      </c>
    </row>
    <row r="79" spans="1:14" x14ac:dyDescent="0.3">
      <c r="A79">
        <v>5</v>
      </c>
      <c r="B79">
        <v>2024</v>
      </c>
      <c r="C79" t="s">
        <v>73</v>
      </c>
      <c r="D79">
        <v>3</v>
      </c>
      <c r="E79" t="s">
        <v>181</v>
      </c>
      <c r="F79" t="s">
        <v>265</v>
      </c>
      <c r="G79" t="s">
        <v>146</v>
      </c>
      <c r="H79" t="s">
        <v>147</v>
      </c>
      <c r="I79" t="s">
        <v>17</v>
      </c>
      <c r="J79">
        <v>0</v>
      </c>
      <c r="K79">
        <v>59196</v>
      </c>
      <c r="L79">
        <v>4936907</v>
      </c>
      <c r="M79" t="str">
        <f t="shared" si="2"/>
        <v>ICD / Dry Port</v>
      </c>
      <c r="N79" t="str">
        <f t="shared" si="3"/>
        <v>May</v>
      </c>
    </row>
    <row r="80" spans="1:14" x14ac:dyDescent="0.3">
      <c r="A80">
        <v>12</v>
      </c>
      <c r="B80">
        <v>2020</v>
      </c>
      <c r="C80" t="s">
        <v>47</v>
      </c>
      <c r="D80">
        <v>7</v>
      </c>
      <c r="E80" t="s">
        <v>51</v>
      </c>
      <c r="F80" t="s">
        <v>193</v>
      </c>
      <c r="G80" t="s">
        <v>106</v>
      </c>
      <c r="H80" t="s">
        <v>558</v>
      </c>
      <c r="I80" t="s">
        <v>17</v>
      </c>
      <c r="J80">
        <v>0</v>
      </c>
      <c r="K80">
        <v>279182</v>
      </c>
      <c r="L80">
        <v>20546004</v>
      </c>
      <c r="M80" t="str">
        <f t="shared" si="2"/>
        <v>ICD / Dry Port</v>
      </c>
      <c r="N80" t="str">
        <f t="shared" si="3"/>
        <v>December</v>
      </c>
    </row>
    <row r="81" spans="1:14" x14ac:dyDescent="0.3">
      <c r="A81">
        <v>4</v>
      </c>
      <c r="B81">
        <v>2021</v>
      </c>
      <c r="C81" t="s">
        <v>58</v>
      </c>
      <c r="D81">
        <v>27</v>
      </c>
      <c r="E81" t="s">
        <v>559</v>
      </c>
      <c r="F81" t="s">
        <v>35</v>
      </c>
      <c r="G81" t="s">
        <v>86</v>
      </c>
      <c r="H81" t="s">
        <v>548</v>
      </c>
      <c r="I81" t="s">
        <v>17</v>
      </c>
      <c r="J81">
        <v>0</v>
      </c>
      <c r="K81">
        <v>1081374</v>
      </c>
      <c r="L81">
        <v>80532313</v>
      </c>
      <c r="M81" t="str">
        <f t="shared" si="2"/>
        <v>Other</v>
      </c>
      <c r="N81" t="str">
        <f t="shared" si="3"/>
        <v>April</v>
      </c>
    </row>
    <row r="82" spans="1:14" x14ac:dyDescent="0.3">
      <c r="A82">
        <v>11</v>
      </c>
      <c r="B82">
        <v>2018</v>
      </c>
      <c r="C82" t="s">
        <v>58</v>
      </c>
      <c r="D82">
        <v>27</v>
      </c>
      <c r="E82" t="s">
        <v>59</v>
      </c>
      <c r="F82" t="s">
        <v>25</v>
      </c>
      <c r="G82" t="s">
        <v>77</v>
      </c>
      <c r="H82" t="s">
        <v>78</v>
      </c>
      <c r="I82" t="s">
        <v>17</v>
      </c>
      <c r="J82">
        <v>0</v>
      </c>
      <c r="K82">
        <v>444417</v>
      </c>
      <c r="L82">
        <v>31933212</v>
      </c>
      <c r="M82" t="str">
        <f t="shared" si="2"/>
        <v>Sea Port</v>
      </c>
      <c r="N82" t="str">
        <f t="shared" si="3"/>
        <v>November</v>
      </c>
    </row>
    <row r="83" spans="1:14" x14ac:dyDescent="0.3">
      <c r="A83">
        <v>12</v>
      </c>
      <c r="B83">
        <v>2019</v>
      </c>
      <c r="C83" t="s">
        <v>47</v>
      </c>
      <c r="D83">
        <v>7</v>
      </c>
      <c r="E83" t="s">
        <v>509</v>
      </c>
      <c r="F83" t="s">
        <v>251</v>
      </c>
      <c r="G83" t="s">
        <v>146</v>
      </c>
      <c r="H83" t="s">
        <v>147</v>
      </c>
      <c r="I83" t="s">
        <v>17</v>
      </c>
      <c r="J83">
        <v>0</v>
      </c>
      <c r="K83">
        <v>54027</v>
      </c>
      <c r="L83">
        <v>3846350</v>
      </c>
      <c r="M83" t="str">
        <f t="shared" si="2"/>
        <v>CFS</v>
      </c>
      <c r="N83" t="str">
        <f t="shared" si="3"/>
        <v>December</v>
      </c>
    </row>
    <row r="84" spans="1:14" x14ac:dyDescent="0.3">
      <c r="A84">
        <v>12</v>
      </c>
      <c r="B84">
        <v>2021</v>
      </c>
      <c r="C84" t="s">
        <v>79</v>
      </c>
      <c r="D84">
        <v>9</v>
      </c>
      <c r="E84" t="s">
        <v>292</v>
      </c>
      <c r="F84" t="s">
        <v>190</v>
      </c>
      <c r="G84" t="s">
        <v>146</v>
      </c>
      <c r="H84" t="s">
        <v>147</v>
      </c>
      <c r="I84" t="s">
        <v>17</v>
      </c>
      <c r="J84">
        <v>0</v>
      </c>
      <c r="K84">
        <v>309613</v>
      </c>
      <c r="L84">
        <v>23336293</v>
      </c>
      <c r="M84" t="str">
        <f t="shared" si="2"/>
        <v>ICD / Dry Port</v>
      </c>
      <c r="N84" t="str">
        <f t="shared" si="3"/>
        <v>December</v>
      </c>
    </row>
    <row r="85" spans="1:14" x14ac:dyDescent="0.3">
      <c r="A85">
        <v>4</v>
      </c>
      <c r="B85">
        <v>2021</v>
      </c>
      <c r="C85" t="s">
        <v>132</v>
      </c>
      <c r="D85">
        <v>19</v>
      </c>
      <c r="E85" t="s">
        <v>209</v>
      </c>
      <c r="F85" t="s">
        <v>68</v>
      </c>
      <c r="G85" t="s">
        <v>26</v>
      </c>
      <c r="H85" t="s">
        <v>27</v>
      </c>
      <c r="I85" t="s">
        <v>17</v>
      </c>
      <c r="J85">
        <v>0</v>
      </c>
      <c r="K85">
        <v>42136</v>
      </c>
      <c r="L85">
        <v>3137957</v>
      </c>
      <c r="M85" t="str">
        <f t="shared" si="2"/>
        <v>Sea Port</v>
      </c>
      <c r="N85" t="str">
        <f t="shared" si="3"/>
        <v>April</v>
      </c>
    </row>
    <row r="86" spans="1:14" x14ac:dyDescent="0.3">
      <c r="A86">
        <v>4</v>
      </c>
      <c r="B86">
        <v>2023</v>
      </c>
      <c r="C86" t="s">
        <v>47</v>
      </c>
      <c r="D86">
        <v>7</v>
      </c>
      <c r="E86" t="s">
        <v>51</v>
      </c>
      <c r="F86" t="s">
        <v>153</v>
      </c>
      <c r="G86" t="s">
        <v>65</v>
      </c>
      <c r="H86" t="s">
        <v>66</v>
      </c>
      <c r="I86" t="s">
        <v>17</v>
      </c>
      <c r="J86">
        <v>0</v>
      </c>
      <c r="K86">
        <v>117932</v>
      </c>
      <c r="L86">
        <v>9672824</v>
      </c>
      <c r="M86" t="str">
        <f t="shared" si="2"/>
        <v>ICD / Dry Port</v>
      </c>
      <c r="N86" t="str">
        <f t="shared" si="3"/>
        <v>April</v>
      </c>
    </row>
    <row r="87" spans="1:14" x14ac:dyDescent="0.3">
      <c r="A87">
        <v>4</v>
      </c>
      <c r="B87">
        <v>2019</v>
      </c>
      <c r="C87" t="s">
        <v>23</v>
      </c>
      <c r="D87">
        <v>24</v>
      </c>
      <c r="E87" t="s">
        <v>24</v>
      </c>
      <c r="F87" t="s">
        <v>44</v>
      </c>
      <c r="G87" t="s">
        <v>86</v>
      </c>
      <c r="H87" t="s">
        <v>548</v>
      </c>
      <c r="I87" t="s">
        <v>17</v>
      </c>
      <c r="J87">
        <v>0</v>
      </c>
      <c r="K87">
        <v>367002</v>
      </c>
      <c r="L87">
        <v>25480000</v>
      </c>
      <c r="M87" t="str">
        <f t="shared" si="2"/>
        <v>Other</v>
      </c>
      <c r="N87" t="str">
        <f t="shared" si="3"/>
        <v>April</v>
      </c>
    </row>
    <row r="88" spans="1:14" x14ac:dyDescent="0.3">
      <c r="A88">
        <v>11</v>
      </c>
      <c r="B88">
        <v>2022</v>
      </c>
      <c r="C88" t="s">
        <v>58</v>
      </c>
      <c r="D88">
        <v>27</v>
      </c>
      <c r="E88" t="s">
        <v>125</v>
      </c>
      <c r="F88" t="s">
        <v>294</v>
      </c>
      <c r="G88" t="s">
        <v>31</v>
      </c>
      <c r="H88" t="s">
        <v>32</v>
      </c>
      <c r="I88" t="s">
        <v>17</v>
      </c>
      <c r="J88">
        <v>0</v>
      </c>
      <c r="K88">
        <v>49612</v>
      </c>
      <c r="L88">
        <v>4058757</v>
      </c>
      <c r="M88" t="str">
        <f t="shared" si="2"/>
        <v>Air Port</v>
      </c>
      <c r="N88" t="str">
        <f t="shared" si="3"/>
        <v>November</v>
      </c>
    </row>
    <row r="89" spans="1:14" x14ac:dyDescent="0.3">
      <c r="A89">
        <v>9</v>
      </c>
      <c r="B89">
        <v>2020</v>
      </c>
      <c r="C89" t="s">
        <v>47</v>
      </c>
      <c r="D89">
        <v>7</v>
      </c>
      <c r="E89" t="s">
        <v>51</v>
      </c>
      <c r="F89" t="s">
        <v>30</v>
      </c>
      <c r="G89" t="s">
        <v>15</v>
      </c>
      <c r="H89" t="s">
        <v>359</v>
      </c>
      <c r="I89" t="s">
        <v>17</v>
      </c>
      <c r="J89">
        <v>0</v>
      </c>
      <c r="K89">
        <v>8647</v>
      </c>
      <c r="L89">
        <v>635413</v>
      </c>
      <c r="M89" t="str">
        <f t="shared" si="2"/>
        <v>ICD / Dry Port</v>
      </c>
      <c r="N89" t="str">
        <f t="shared" si="3"/>
        <v>September</v>
      </c>
    </row>
    <row r="90" spans="1:14" x14ac:dyDescent="0.3">
      <c r="A90">
        <v>7</v>
      </c>
      <c r="B90">
        <v>2021</v>
      </c>
      <c r="C90" t="s">
        <v>58</v>
      </c>
      <c r="D90">
        <v>27</v>
      </c>
      <c r="E90" t="s">
        <v>59</v>
      </c>
      <c r="F90" t="s">
        <v>412</v>
      </c>
      <c r="G90" t="s">
        <v>146</v>
      </c>
      <c r="H90" t="s">
        <v>147</v>
      </c>
      <c r="I90" t="s">
        <v>17</v>
      </c>
      <c r="J90">
        <v>0</v>
      </c>
      <c r="K90">
        <v>7052</v>
      </c>
      <c r="L90">
        <v>525548</v>
      </c>
      <c r="M90" t="str">
        <f t="shared" si="2"/>
        <v>Sea Port</v>
      </c>
      <c r="N90" t="str">
        <f t="shared" si="3"/>
        <v>July</v>
      </c>
    </row>
    <row r="91" spans="1:14" x14ac:dyDescent="0.3">
      <c r="A91">
        <v>8</v>
      </c>
      <c r="B91">
        <v>2018</v>
      </c>
      <c r="C91" t="s">
        <v>23</v>
      </c>
      <c r="D91">
        <v>24</v>
      </c>
      <c r="E91" t="s">
        <v>24</v>
      </c>
      <c r="F91" t="s">
        <v>515</v>
      </c>
      <c r="G91" t="s">
        <v>160</v>
      </c>
      <c r="H91" t="s">
        <v>161</v>
      </c>
      <c r="I91" t="s">
        <v>17</v>
      </c>
      <c r="J91">
        <v>0</v>
      </c>
      <c r="K91">
        <v>61814</v>
      </c>
      <c r="L91">
        <v>4298921</v>
      </c>
      <c r="M91" t="str">
        <f t="shared" si="2"/>
        <v>Other</v>
      </c>
      <c r="N91" t="str">
        <f t="shared" si="3"/>
        <v>August</v>
      </c>
    </row>
    <row r="92" spans="1:14" x14ac:dyDescent="0.3">
      <c r="A92">
        <v>5</v>
      </c>
      <c r="B92">
        <v>2022</v>
      </c>
      <c r="C92" t="s">
        <v>58</v>
      </c>
      <c r="D92">
        <v>27</v>
      </c>
      <c r="E92" t="s">
        <v>290</v>
      </c>
      <c r="F92" t="s">
        <v>193</v>
      </c>
      <c r="G92" t="s">
        <v>52</v>
      </c>
      <c r="H92" t="s">
        <v>53</v>
      </c>
      <c r="I92" t="s">
        <v>17</v>
      </c>
      <c r="J92">
        <v>0</v>
      </c>
      <c r="K92">
        <v>71868</v>
      </c>
      <c r="L92">
        <v>5556791</v>
      </c>
      <c r="M92" t="str">
        <f t="shared" si="2"/>
        <v>SEZ / Industrial Zone</v>
      </c>
      <c r="N92" t="str">
        <f t="shared" si="3"/>
        <v>May</v>
      </c>
    </row>
    <row r="93" spans="1:14" x14ac:dyDescent="0.3">
      <c r="A93">
        <v>1</v>
      </c>
      <c r="B93">
        <v>2024</v>
      </c>
      <c r="C93" t="s">
        <v>132</v>
      </c>
      <c r="D93">
        <v>19</v>
      </c>
      <c r="E93" t="s">
        <v>133</v>
      </c>
      <c r="F93" t="s">
        <v>131</v>
      </c>
      <c r="G93" t="s">
        <v>248</v>
      </c>
      <c r="H93" t="s">
        <v>249</v>
      </c>
      <c r="I93" t="s">
        <v>17</v>
      </c>
      <c r="J93">
        <v>0</v>
      </c>
      <c r="K93">
        <v>377299</v>
      </c>
      <c r="L93">
        <v>31361517</v>
      </c>
      <c r="M93" t="str">
        <f t="shared" si="2"/>
        <v>Air Port</v>
      </c>
      <c r="N93" t="str">
        <f t="shared" si="3"/>
        <v>January</v>
      </c>
    </row>
    <row r="94" spans="1:14" x14ac:dyDescent="0.3">
      <c r="A94">
        <v>11</v>
      </c>
      <c r="B94">
        <v>2022</v>
      </c>
      <c r="C94" t="s">
        <v>58</v>
      </c>
      <c r="D94">
        <v>27</v>
      </c>
      <c r="E94" t="s">
        <v>59</v>
      </c>
      <c r="F94" t="s">
        <v>241</v>
      </c>
      <c r="G94" t="s">
        <v>173</v>
      </c>
      <c r="H94" t="s">
        <v>174</v>
      </c>
      <c r="I94" t="s">
        <v>17</v>
      </c>
      <c r="J94">
        <v>0</v>
      </c>
      <c r="K94">
        <v>140242</v>
      </c>
      <c r="L94">
        <v>11473265</v>
      </c>
      <c r="M94" t="str">
        <f t="shared" si="2"/>
        <v>Sea Port</v>
      </c>
      <c r="N94" t="str">
        <f t="shared" si="3"/>
        <v>November</v>
      </c>
    </row>
    <row r="95" spans="1:14" x14ac:dyDescent="0.3">
      <c r="A95">
        <v>4</v>
      </c>
      <c r="B95">
        <v>2021</v>
      </c>
      <c r="C95" t="s">
        <v>28</v>
      </c>
      <c r="D95">
        <v>29</v>
      </c>
      <c r="E95" t="s">
        <v>236</v>
      </c>
      <c r="F95" t="s">
        <v>251</v>
      </c>
      <c r="G95" t="s">
        <v>335</v>
      </c>
      <c r="H95" t="s">
        <v>507</v>
      </c>
      <c r="I95" t="s">
        <v>17</v>
      </c>
      <c r="J95">
        <v>0</v>
      </c>
      <c r="K95">
        <v>653701</v>
      </c>
      <c r="L95">
        <v>48682569</v>
      </c>
      <c r="M95" t="str">
        <f t="shared" si="2"/>
        <v>ICD / Dry Port</v>
      </c>
      <c r="N95" t="str">
        <f t="shared" si="3"/>
        <v>April</v>
      </c>
    </row>
    <row r="96" spans="1:14" x14ac:dyDescent="0.3">
      <c r="A96">
        <v>11</v>
      </c>
      <c r="B96">
        <v>2019</v>
      </c>
      <c r="C96" t="s">
        <v>12</v>
      </c>
      <c r="D96">
        <v>8</v>
      </c>
      <c r="E96" t="s">
        <v>560</v>
      </c>
      <c r="F96" t="s">
        <v>20</v>
      </c>
      <c r="G96" t="s">
        <v>160</v>
      </c>
      <c r="H96" t="s">
        <v>161</v>
      </c>
      <c r="I96" t="s">
        <v>17</v>
      </c>
      <c r="J96">
        <v>0</v>
      </c>
      <c r="K96">
        <v>32949</v>
      </c>
      <c r="L96">
        <v>2354251</v>
      </c>
      <c r="M96" t="str">
        <f t="shared" si="2"/>
        <v>ICD / Dry Port</v>
      </c>
      <c r="N96" t="str">
        <f t="shared" si="3"/>
        <v>November</v>
      </c>
    </row>
    <row r="97" spans="1:14" x14ac:dyDescent="0.3">
      <c r="A97">
        <v>1</v>
      </c>
      <c r="B97">
        <v>2024</v>
      </c>
      <c r="C97" t="s">
        <v>18</v>
      </c>
      <c r="D97">
        <v>6</v>
      </c>
      <c r="E97" t="s">
        <v>19</v>
      </c>
      <c r="F97" t="s">
        <v>90</v>
      </c>
      <c r="G97" t="s">
        <v>258</v>
      </c>
      <c r="H97" t="s">
        <v>259</v>
      </c>
      <c r="I97" t="s">
        <v>17</v>
      </c>
      <c r="J97">
        <v>0</v>
      </c>
      <c r="K97">
        <v>823653</v>
      </c>
      <c r="L97">
        <v>68462884</v>
      </c>
      <c r="M97" t="str">
        <f t="shared" si="2"/>
        <v>ICD / Dry Port</v>
      </c>
      <c r="N97" t="str">
        <f t="shared" si="3"/>
        <v>January</v>
      </c>
    </row>
    <row r="98" spans="1:14" x14ac:dyDescent="0.3">
      <c r="A98">
        <v>8</v>
      </c>
      <c r="B98">
        <v>2022</v>
      </c>
      <c r="C98" t="s">
        <v>58</v>
      </c>
      <c r="D98">
        <v>27</v>
      </c>
      <c r="E98" t="s">
        <v>59</v>
      </c>
      <c r="F98" t="s">
        <v>142</v>
      </c>
      <c r="G98" t="s">
        <v>143</v>
      </c>
      <c r="H98" t="s">
        <v>144</v>
      </c>
      <c r="I98" t="s">
        <v>17</v>
      </c>
      <c r="J98">
        <v>0</v>
      </c>
      <c r="K98">
        <v>59591</v>
      </c>
      <c r="L98">
        <v>4740739</v>
      </c>
      <c r="M98" t="str">
        <f t="shared" si="2"/>
        <v>Sea Port</v>
      </c>
      <c r="N98" t="str">
        <f t="shared" si="3"/>
        <v>August</v>
      </c>
    </row>
    <row r="99" spans="1:14" x14ac:dyDescent="0.3">
      <c r="A99">
        <v>4</v>
      </c>
      <c r="B99">
        <v>2020</v>
      </c>
      <c r="C99" t="s">
        <v>28</v>
      </c>
      <c r="D99">
        <v>29</v>
      </c>
      <c r="E99" t="s">
        <v>236</v>
      </c>
      <c r="F99" t="s">
        <v>193</v>
      </c>
      <c r="G99" t="s">
        <v>127</v>
      </c>
      <c r="H99" t="s">
        <v>128</v>
      </c>
      <c r="I99" t="s">
        <v>17</v>
      </c>
      <c r="J99">
        <v>0</v>
      </c>
      <c r="K99">
        <v>224073</v>
      </c>
      <c r="L99">
        <v>17082533</v>
      </c>
      <c r="M99" t="str">
        <f t="shared" si="2"/>
        <v>ICD / Dry Port</v>
      </c>
      <c r="N99" t="str">
        <f t="shared" si="3"/>
        <v>April</v>
      </c>
    </row>
    <row r="100" spans="1:14" x14ac:dyDescent="0.3">
      <c r="A100">
        <v>4</v>
      </c>
      <c r="B100">
        <v>2020</v>
      </c>
      <c r="C100" t="s">
        <v>12</v>
      </c>
      <c r="D100">
        <v>8</v>
      </c>
      <c r="E100" t="s">
        <v>165</v>
      </c>
      <c r="F100" t="s">
        <v>232</v>
      </c>
      <c r="G100" t="s">
        <v>61</v>
      </c>
      <c r="H100" t="s">
        <v>62</v>
      </c>
      <c r="I100" t="s">
        <v>17</v>
      </c>
      <c r="J100">
        <v>0</v>
      </c>
      <c r="K100">
        <v>26770</v>
      </c>
      <c r="L100">
        <v>2040836</v>
      </c>
      <c r="M100" t="str">
        <f t="shared" si="2"/>
        <v>ICD / Dry Port</v>
      </c>
      <c r="N100" t="str">
        <f t="shared" si="3"/>
        <v>April</v>
      </c>
    </row>
    <row r="101" spans="1:14" x14ac:dyDescent="0.3">
      <c r="A101">
        <v>11</v>
      </c>
      <c r="B101">
        <v>2023</v>
      </c>
      <c r="C101" t="s">
        <v>28</v>
      </c>
      <c r="D101">
        <v>29</v>
      </c>
      <c r="E101" t="s">
        <v>236</v>
      </c>
      <c r="F101" t="s">
        <v>118</v>
      </c>
      <c r="G101" t="s">
        <v>86</v>
      </c>
      <c r="H101" t="s">
        <v>548</v>
      </c>
      <c r="I101" t="s">
        <v>17</v>
      </c>
      <c r="J101">
        <v>0</v>
      </c>
      <c r="K101">
        <v>886237</v>
      </c>
      <c r="L101">
        <v>73821739</v>
      </c>
      <c r="M101" t="str">
        <f t="shared" si="2"/>
        <v>ICD / Dry Port</v>
      </c>
      <c r="N101" t="str">
        <f t="shared" si="3"/>
        <v>November</v>
      </c>
    </row>
    <row r="102" spans="1:14" x14ac:dyDescent="0.3">
      <c r="A102">
        <v>7</v>
      </c>
      <c r="B102">
        <v>2024</v>
      </c>
      <c r="C102" t="s">
        <v>58</v>
      </c>
      <c r="D102">
        <v>27</v>
      </c>
      <c r="E102" t="s">
        <v>305</v>
      </c>
      <c r="F102" t="s">
        <v>193</v>
      </c>
      <c r="G102" t="s">
        <v>306</v>
      </c>
      <c r="H102" t="s">
        <v>307</v>
      </c>
      <c r="I102" t="s">
        <v>17</v>
      </c>
      <c r="J102">
        <v>0</v>
      </c>
      <c r="K102">
        <v>289300</v>
      </c>
      <c r="L102">
        <v>24183973</v>
      </c>
      <c r="M102" t="str">
        <f t="shared" si="2"/>
        <v>Other</v>
      </c>
      <c r="N102" t="str">
        <f t="shared" si="3"/>
        <v>July</v>
      </c>
    </row>
    <row r="103" spans="1:14" x14ac:dyDescent="0.3">
      <c r="A103">
        <v>8</v>
      </c>
      <c r="B103">
        <v>2022</v>
      </c>
      <c r="C103" t="s">
        <v>58</v>
      </c>
      <c r="D103">
        <v>27</v>
      </c>
      <c r="E103" t="s">
        <v>290</v>
      </c>
      <c r="F103" t="s">
        <v>193</v>
      </c>
      <c r="G103" t="s">
        <v>92</v>
      </c>
      <c r="H103" t="s">
        <v>93</v>
      </c>
      <c r="I103" t="s">
        <v>17</v>
      </c>
      <c r="J103">
        <v>0</v>
      </c>
      <c r="K103">
        <v>42107</v>
      </c>
      <c r="L103">
        <v>3349810</v>
      </c>
      <c r="M103" t="str">
        <f t="shared" si="2"/>
        <v>SEZ / Industrial Zone</v>
      </c>
      <c r="N103" t="str">
        <f t="shared" si="3"/>
        <v>August</v>
      </c>
    </row>
    <row r="104" spans="1:14" x14ac:dyDescent="0.3">
      <c r="A104">
        <v>1</v>
      </c>
      <c r="B104">
        <v>2024</v>
      </c>
      <c r="C104" t="s">
        <v>28</v>
      </c>
      <c r="D104">
        <v>29</v>
      </c>
      <c r="E104" t="s">
        <v>346</v>
      </c>
      <c r="F104" t="s">
        <v>30</v>
      </c>
      <c r="G104" t="s">
        <v>86</v>
      </c>
      <c r="H104" t="s">
        <v>548</v>
      </c>
      <c r="I104" t="s">
        <v>17</v>
      </c>
      <c r="J104">
        <v>0</v>
      </c>
      <c r="K104">
        <v>890</v>
      </c>
      <c r="L104">
        <v>73951</v>
      </c>
      <c r="M104" t="str">
        <f t="shared" si="2"/>
        <v>SEZ / Industrial Zone</v>
      </c>
      <c r="N104" t="str">
        <f t="shared" si="3"/>
        <v>January</v>
      </c>
    </row>
    <row r="105" spans="1:14" x14ac:dyDescent="0.3">
      <c r="A105">
        <v>5</v>
      </c>
      <c r="B105">
        <v>2018</v>
      </c>
      <c r="C105" t="s">
        <v>47</v>
      </c>
      <c r="D105">
        <v>7</v>
      </c>
      <c r="E105" t="s">
        <v>51</v>
      </c>
      <c r="F105" t="s">
        <v>108</v>
      </c>
      <c r="G105" t="s">
        <v>338</v>
      </c>
      <c r="H105" t="s">
        <v>339</v>
      </c>
      <c r="I105" t="s">
        <v>17</v>
      </c>
      <c r="J105">
        <v>0</v>
      </c>
      <c r="K105">
        <v>495804</v>
      </c>
      <c r="L105">
        <v>33486307</v>
      </c>
      <c r="M105" t="str">
        <f t="shared" si="2"/>
        <v>ICD / Dry Port</v>
      </c>
      <c r="N105" t="str">
        <f t="shared" si="3"/>
        <v>May</v>
      </c>
    </row>
    <row r="106" spans="1:14" x14ac:dyDescent="0.3">
      <c r="A106">
        <v>3</v>
      </c>
      <c r="B106">
        <v>2018</v>
      </c>
      <c r="C106" t="s">
        <v>58</v>
      </c>
      <c r="D106">
        <v>27</v>
      </c>
      <c r="E106" t="s">
        <v>125</v>
      </c>
      <c r="F106" t="s">
        <v>534</v>
      </c>
      <c r="G106" t="s">
        <v>123</v>
      </c>
      <c r="H106" t="s">
        <v>553</v>
      </c>
      <c r="I106" t="s">
        <v>17</v>
      </c>
      <c r="J106">
        <v>0</v>
      </c>
      <c r="K106">
        <v>12343</v>
      </c>
      <c r="L106">
        <v>802547</v>
      </c>
      <c r="M106" t="str">
        <f t="shared" si="2"/>
        <v>Air Port</v>
      </c>
      <c r="N106" t="str">
        <f t="shared" si="3"/>
        <v>March</v>
      </c>
    </row>
    <row r="107" spans="1:14" x14ac:dyDescent="0.3">
      <c r="A107">
        <v>9</v>
      </c>
      <c r="B107">
        <v>2022</v>
      </c>
      <c r="C107" t="s">
        <v>23</v>
      </c>
      <c r="D107">
        <v>24</v>
      </c>
      <c r="E107" t="s">
        <v>199</v>
      </c>
      <c r="F107" t="s">
        <v>190</v>
      </c>
      <c r="G107" t="s">
        <v>77</v>
      </c>
      <c r="H107" t="s">
        <v>78</v>
      </c>
      <c r="I107" t="s">
        <v>17</v>
      </c>
      <c r="J107">
        <v>0</v>
      </c>
      <c r="K107">
        <v>13437</v>
      </c>
      <c r="L107">
        <v>1078052</v>
      </c>
      <c r="M107" t="str">
        <f t="shared" si="2"/>
        <v>SEZ / Industrial Zone</v>
      </c>
      <c r="N107" t="str">
        <f t="shared" si="3"/>
        <v>September</v>
      </c>
    </row>
    <row r="108" spans="1:14" x14ac:dyDescent="0.3">
      <c r="A108">
        <v>12</v>
      </c>
      <c r="B108">
        <v>2021</v>
      </c>
      <c r="C108" t="s">
        <v>47</v>
      </c>
      <c r="D108">
        <v>7</v>
      </c>
      <c r="E108" t="s">
        <v>48</v>
      </c>
      <c r="F108" t="s">
        <v>30</v>
      </c>
      <c r="G108" t="s">
        <v>26</v>
      </c>
      <c r="H108" t="s">
        <v>27</v>
      </c>
      <c r="I108" t="s">
        <v>17</v>
      </c>
      <c r="J108">
        <v>0</v>
      </c>
      <c r="K108">
        <v>4098187</v>
      </c>
      <c r="L108">
        <v>308890608</v>
      </c>
      <c r="M108" t="str">
        <f t="shared" si="2"/>
        <v>Air Port</v>
      </c>
      <c r="N108" t="str">
        <f t="shared" si="3"/>
        <v>December</v>
      </c>
    </row>
    <row r="109" spans="1:14" x14ac:dyDescent="0.3">
      <c r="A109">
        <v>10</v>
      </c>
      <c r="B109">
        <v>2022</v>
      </c>
      <c r="C109" t="s">
        <v>33</v>
      </c>
      <c r="D109">
        <v>32</v>
      </c>
      <c r="E109" t="s">
        <v>561</v>
      </c>
      <c r="F109" t="s">
        <v>14</v>
      </c>
      <c r="G109" t="s">
        <v>157</v>
      </c>
      <c r="H109" t="s">
        <v>158</v>
      </c>
      <c r="I109" t="s">
        <v>17</v>
      </c>
      <c r="J109">
        <v>0</v>
      </c>
      <c r="K109">
        <v>434</v>
      </c>
      <c r="L109">
        <v>35768</v>
      </c>
      <c r="M109" t="str">
        <f t="shared" si="2"/>
        <v>Sea Port</v>
      </c>
      <c r="N109" t="str">
        <f t="shared" si="3"/>
        <v>October</v>
      </c>
    </row>
    <row r="110" spans="1:14" x14ac:dyDescent="0.3">
      <c r="A110">
        <v>10</v>
      </c>
      <c r="B110">
        <v>2022</v>
      </c>
      <c r="C110" t="s">
        <v>28</v>
      </c>
      <c r="D110">
        <v>29</v>
      </c>
      <c r="E110" t="s">
        <v>29</v>
      </c>
      <c r="F110" t="s">
        <v>30</v>
      </c>
      <c r="G110" t="s">
        <v>61</v>
      </c>
      <c r="H110" t="s">
        <v>62</v>
      </c>
      <c r="I110" t="s">
        <v>17</v>
      </c>
      <c r="J110">
        <v>0</v>
      </c>
      <c r="K110">
        <v>286506</v>
      </c>
      <c r="L110">
        <v>23590848</v>
      </c>
      <c r="M110" t="str">
        <f t="shared" si="2"/>
        <v>Sea Port</v>
      </c>
      <c r="N110" t="str">
        <f t="shared" si="3"/>
        <v>October</v>
      </c>
    </row>
    <row r="111" spans="1:14" x14ac:dyDescent="0.3">
      <c r="A111">
        <v>8</v>
      </c>
      <c r="B111">
        <v>2020</v>
      </c>
      <c r="C111" t="s">
        <v>47</v>
      </c>
      <c r="D111">
        <v>7</v>
      </c>
      <c r="E111" t="s">
        <v>48</v>
      </c>
      <c r="F111" t="s">
        <v>251</v>
      </c>
      <c r="G111" t="s">
        <v>347</v>
      </c>
      <c r="H111" t="s">
        <v>542</v>
      </c>
      <c r="I111" t="s">
        <v>17</v>
      </c>
      <c r="J111">
        <v>0</v>
      </c>
      <c r="K111">
        <v>40694</v>
      </c>
      <c r="L111">
        <v>3038665</v>
      </c>
      <c r="M111" t="str">
        <f t="shared" si="2"/>
        <v>Air Port</v>
      </c>
      <c r="N111" t="str">
        <f t="shared" si="3"/>
        <v>August</v>
      </c>
    </row>
    <row r="112" spans="1:14" x14ac:dyDescent="0.3">
      <c r="A112">
        <v>2</v>
      </c>
      <c r="B112">
        <v>2021</v>
      </c>
      <c r="C112" t="s">
        <v>79</v>
      </c>
      <c r="D112">
        <v>9</v>
      </c>
      <c r="E112" t="s">
        <v>88</v>
      </c>
      <c r="F112" t="s">
        <v>68</v>
      </c>
      <c r="G112" t="s">
        <v>282</v>
      </c>
      <c r="H112" t="s">
        <v>283</v>
      </c>
      <c r="I112" t="s">
        <v>17</v>
      </c>
      <c r="J112">
        <v>0</v>
      </c>
      <c r="K112">
        <v>97854</v>
      </c>
      <c r="L112">
        <v>7119521</v>
      </c>
      <c r="M112" t="str">
        <f t="shared" si="2"/>
        <v>CFS</v>
      </c>
      <c r="N112" t="str">
        <f t="shared" si="3"/>
        <v>February</v>
      </c>
    </row>
    <row r="113" spans="1:14" x14ac:dyDescent="0.3">
      <c r="A113">
        <v>1</v>
      </c>
      <c r="B113">
        <v>2023</v>
      </c>
      <c r="C113" t="s">
        <v>137</v>
      </c>
      <c r="D113">
        <v>36</v>
      </c>
      <c r="E113" t="s">
        <v>138</v>
      </c>
      <c r="F113" t="s">
        <v>193</v>
      </c>
      <c r="G113" t="s">
        <v>52</v>
      </c>
      <c r="H113" t="s">
        <v>53</v>
      </c>
      <c r="I113" t="s">
        <v>17</v>
      </c>
      <c r="J113">
        <v>0</v>
      </c>
      <c r="K113">
        <v>8803</v>
      </c>
      <c r="L113">
        <v>720945</v>
      </c>
      <c r="M113" t="str">
        <f t="shared" si="2"/>
        <v>ICD / Dry Port</v>
      </c>
      <c r="N113" t="str">
        <f t="shared" si="3"/>
        <v>January</v>
      </c>
    </row>
    <row r="114" spans="1:14" x14ac:dyDescent="0.3">
      <c r="A114">
        <v>11</v>
      </c>
      <c r="B114">
        <v>2022</v>
      </c>
      <c r="C114" t="s">
        <v>12</v>
      </c>
      <c r="D114">
        <v>8</v>
      </c>
      <c r="E114" t="s">
        <v>426</v>
      </c>
      <c r="F114" t="s">
        <v>159</v>
      </c>
      <c r="G114" t="s">
        <v>306</v>
      </c>
      <c r="H114" t="s">
        <v>307</v>
      </c>
      <c r="I114" t="s">
        <v>17</v>
      </c>
      <c r="J114">
        <v>0</v>
      </c>
      <c r="K114">
        <v>38531</v>
      </c>
      <c r="L114">
        <v>3152236</v>
      </c>
      <c r="M114" t="str">
        <f t="shared" si="2"/>
        <v>Other</v>
      </c>
      <c r="N114" t="str">
        <f t="shared" si="3"/>
        <v>November</v>
      </c>
    </row>
    <row r="115" spans="1:14" x14ac:dyDescent="0.3">
      <c r="A115">
        <v>6</v>
      </c>
      <c r="B115">
        <v>2021</v>
      </c>
      <c r="C115" t="s">
        <v>58</v>
      </c>
      <c r="D115">
        <v>27</v>
      </c>
      <c r="E115" t="s">
        <v>562</v>
      </c>
      <c r="F115" t="s">
        <v>153</v>
      </c>
      <c r="G115" t="s">
        <v>195</v>
      </c>
      <c r="H115" t="s">
        <v>196</v>
      </c>
      <c r="I115" t="s">
        <v>17</v>
      </c>
      <c r="J115">
        <v>0</v>
      </c>
      <c r="K115">
        <v>1400</v>
      </c>
      <c r="L115">
        <v>103008</v>
      </c>
      <c r="M115" t="str">
        <f t="shared" si="2"/>
        <v>Sea Port</v>
      </c>
      <c r="N115" t="str">
        <f t="shared" si="3"/>
        <v>June</v>
      </c>
    </row>
    <row r="116" spans="1:14" x14ac:dyDescent="0.3">
      <c r="A116">
        <v>4</v>
      </c>
      <c r="B116">
        <v>2021</v>
      </c>
      <c r="C116" t="s">
        <v>137</v>
      </c>
      <c r="D116">
        <v>36</v>
      </c>
      <c r="E116" t="s">
        <v>148</v>
      </c>
      <c r="F116" t="s">
        <v>35</v>
      </c>
      <c r="G116" t="s">
        <v>248</v>
      </c>
      <c r="H116" t="s">
        <v>249</v>
      </c>
      <c r="I116" t="s">
        <v>17</v>
      </c>
      <c r="J116">
        <v>0</v>
      </c>
      <c r="K116">
        <v>10776</v>
      </c>
      <c r="L116">
        <v>802528</v>
      </c>
      <c r="M116" t="str">
        <f t="shared" si="2"/>
        <v>Sea Port</v>
      </c>
      <c r="N116" t="str">
        <f t="shared" si="3"/>
        <v>April</v>
      </c>
    </row>
    <row r="117" spans="1:14" x14ac:dyDescent="0.3">
      <c r="A117">
        <v>1</v>
      </c>
      <c r="B117">
        <v>2023</v>
      </c>
      <c r="C117" t="s">
        <v>58</v>
      </c>
      <c r="D117">
        <v>27</v>
      </c>
      <c r="E117" t="s">
        <v>125</v>
      </c>
      <c r="F117" t="s">
        <v>30</v>
      </c>
      <c r="G117" t="s">
        <v>86</v>
      </c>
      <c r="H117" t="s">
        <v>548</v>
      </c>
      <c r="I117" t="s">
        <v>17</v>
      </c>
      <c r="J117">
        <v>0</v>
      </c>
      <c r="K117">
        <v>2413036</v>
      </c>
      <c r="L117">
        <v>197626741</v>
      </c>
      <c r="M117" t="str">
        <f t="shared" si="2"/>
        <v>Air Port</v>
      </c>
      <c r="N117" t="str">
        <f t="shared" si="3"/>
        <v>January</v>
      </c>
    </row>
    <row r="118" spans="1:14" x14ac:dyDescent="0.3">
      <c r="A118">
        <v>6</v>
      </c>
      <c r="B118">
        <v>2019</v>
      </c>
      <c r="C118" t="s">
        <v>563</v>
      </c>
      <c r="D118">
        <v>16</v>
      </c>
      <c r="E118" t="s">
        <v>564</v>
      </c>
      <c r="F118" t="s">
        <v>224</v>
      </c>
      <c r="G118" t="s">
        <v>146</v>
      </c>
      <c r="H118" t="s">
        <v>147</v>
      </c>
      <c r="I118" t="s">
        <v>17</v>
      </c>
      <c r="J118">
        <v>0</v>
      </c>
      <c r="K118">
        <v>11893</v>
      </c>
      <c r="L118">
        <v>825827</v>
      </c>
      <c r="M118" t="str">
        <f t="shared" si="2"/>
        <v>Land Port</v>
      </c>
      <c r="N118" t="str">
        <f t="shared" si="3"/>
        <v>June</v>
      </c>
    </row>
    <row r="119" spans="1:14" x14ac:dyDescent="0.3">
      <c r="A119">
        <v>7</v>
      </c>
      <c r="B119">
        <v>2022</v>
      </c>
      <c r="C119" t="s">
        <v>79</v>
      </c>
      <c r="D119">
        <v>9</v>
      </c>
      <c r="E119" t="s">
        <v>565</v>
      </c>
      <c r="F119" t="s">
        <v>190</v>
      </c>
      <c r="G119" t="s">
        <v>99</v>
      </c>
      <c r="H119" t="s">
        <v>549</v>
      </c>
      <c r="I119" t="s">
        <v>17</v>
      </c>
      <c r="J119">
        <v>0</v>
      </c>
      <c r="K119">
        <v>10103</v>
      </c>
      <c r="L119">
        <v>804204</v>
      </c>
      <c r="M119" t="str">
        <f t="shared" si="2"/>
        <v>SEZ / Industrial Zone</v>
      </c>
      <c r="N119" t="str">
        <f t="shared" si="3"/>
        <v>July</v>
      </c>
    </row>
    <row r="120" spans="1:14" x14ac:dyDescent="0.3">
      <c r="A120">
        <v>4</v>
      </c>
      <c r="B120">
        <v>2020</v>
      </c>
      <c r="C120" t="s">
        <v>33</v>
      </c>
      <c r="D120">
        <v>32</v>
      </c>
      <c r="E120" t="s">
        <v>214</v>
      </c>
      <c r="F120" t="s">
        <v>153</v>
      </c>
      <c r="G120" t="s">
        <v>160</v>
      </c>
      <c r="H120" t="s">
        <v>161</v>
      </c>
      <c r="I120" t="s">
        <v>17</v>
      </c>
      <c r="J120">
        <v>0</v>
      </c>
      <c r="K120">
        <v>100128</v>
      </c>
      <c r="L120">
        <v>7633434</v>
      </c>
      <c r="M120" t="str">
        <f t="shared" si="2"/>
        <v>Sea Port</v>
      </c>
      <c r="N120" t="str">
        <f t="shared" si="3"/>
        <v>April</v>
      </c>
    </row>
    <row r="121" spans="1:14" x14ac:dyDescent="0.3">
      <c r="A121">
        <v>12</v>
      </c>
      <c r="B121">
        <v>2022</v>
      </c>
      <c r="C121" t="s">
        <v>18</v>
      </c>
      <c r="D121">
        <v>6</v>
      </c>
      <c r="E121" t="s">
        <v>566</v>
      </c>
      <c r="F121" t="s">
        <v>257</v>
      </c>
      <c r="G121" t="s">
        <v>146</v>
      </c>
      <c r="H121" t="s">
        <v>147</v>
      </c>
      <c r="I121" t="s">
        <v>17</v>
      </c>
      <c r="J121">
        <v>0</v>
      </c>
      <c r="K121">
        <v>36365</v>
      </c>
      <c r="L121">
        <v>2998801</v>
      </c>
      <c r="M121" t="str">
        <f t="shared" si="2"/>
        <v>ICD / Dry Port</v>
      </c>
      <c r="N121" t="str">
        <f t="shared" si="3"/>
        <v>December</v>
      </c>
    </row>
    <row r="122" spans="1:14" x14ac:dyDescent="0.3">
      <c r="A122">
        <v>11</v>
      </c>
      <c r="B122">
        <v>2019</v>
      </c>
      <c r="C122" t="s">
        <v>33</v>
      </c>
      <c r="D122">
        <v>32</v>
      </c>
      <c r="E122" t="s">
        <v>316</v>
      </c>
      <c r="F122" t="s">
        <v>142</v>
      </c>
      <c r="G122" t="s">
        <v>86</v>
      </c>
      <c r="H122" t="s">
        <v>548</v>
      </c>
      <c r="I122" t="s">
        <v>17</v>
      </c>
      <c r="J122">
        <v>0</v>
      </c>
      <c r="K122">
        <v>805</v>
      </c>
      <c r="L122">
        <v>57496</v>
      </c>
      <c r="M122" t="str">
        <f t="shared" si="2"/>
        <v>SEZ / Industrial Zone</v>
      </c>
      <c r="N122" t="str">
        <f t="shared" si="3"/>
        <v>November</v>
      </c>
    </row>
    <row r="123" spans="1:14" x14ac:dyDescent="0.3">
      <c r="A123">
        <v>8</v>
      </c>
      <c r="B123">
        <v>2022</v>
      </c>
      <c r="C123" t="s">
        <v>58</v>
      </c>
      <c r="D123">
        <v>27</v>
      </c>
      <c r="E123" t="s">
        <v>125</v>
      </c>
      <c r="F123" t="s">
        <v>241</v>
      </c>
      <c r="G123" t="s">
        <v>202</v>
      </c>
      <c r="H123" t="s">
        <v>203</v>
      </c>
      <c r="I123" t="s">
        <v>17</v>
      </c>
      <c r="J123">
        <v>0</v>
      </c>
      <c r="K123">
        <v>67</v>
      </c>
      <c r="L123">
        <v>5359</v>
      </c>
      <c r="M123" t="str">
        <f t="shared" si="2"/>
        <v>Air Port</v>
      </c>
      <c r="N123" t="str">
        <f t="shared" si="3"/>
        <v>August</v>
      </c>
    </row>
    <row r="124" spans="1:14" x14ac:dyDescent="0.3">
      <c r="A124">
        <v>10</v>
      </c>
      <c r="B124">
        <v>2022</v>
      </c>
      <c r="C124" t="s">
        <v>28</v>
      </c>
      <c r="D124">
        <v>29</v>
      </c>
      <c r="E124" t="s">
        <v>236</v>
      </c>
      <c r="F124" t="s">
        <v>167</v>
      </c>
      <c r="G124" t="s">
        <v>173</v>
      </c>
      <c r="H124" t="s">
        <v>174</v>
      </c>
      <c r="I124" t="s">
        <v>17</v>
      </c>
      <c r="J124">
        <v>0</v>
      </c>
      <c r="K124">
        <v>27985</v>
      </c>
      <c r="L124">
        <v>2304295</v>
      </c>
      <c r="M124" t="str">
        <f t="shared" si="2"/>
        <v>ICD / Dry Port</v>
      </c>
      <c r="N124" t="str">
        <f t="shared" si="3"/>
        <v>October</v>
      </c>
    </row>
    <row r="125" spans="1:14" x14ac:dyDescent="0.3">
      <c r="A125">
        <v>9</v>
      </c>
      <c r="B125">
        <v>2020</v>
      </c>
      <c r="C125" t="s">
        <v>47</v>
      </c>
      <c r="D125">
        <v>7</v>
      </c>
      <c r="E125" t="s">
        <v>48</v>
      </c>
      <c r="F125" t="s">
        <v>241</v>
      </c>
      <c r="G125" t="s">
        <v>109</v>
      </c>
      <c r="H125" t="s">
        <v>567</v>
      </c>
      <c r="I125" t="s">
        <v>17</v>
      </c>
      <c r="J125">
        <v>0</v>
      </c>
      <c r="K125">
        <v>79794</v>
      </c>
      <c r="L125">
        <v>5863412</v>
      </c>
      <c r="M125" t="str">
        <f t="shared" si="2"/>
        <v>Air Port</v>
      </c>
      <c r="N125" t="str">
        <f t="shared" si="3"/>
        <v>September</v>
      </c>
    </row>
    <row r="126" spans="1:14" x14ac:dyDescent="0.3">
      <c r="A126">
        <v>7</v>
      </c>
      <c r="B126">
        <v>2019</v>
      </c>
      <c r="C126" t="s">
        <v>132</v>
      </c>
      <c r="D126">
        <v>19</v>
      </c>
      <c r="E126" t="s">
        <v>329</v>
      </c>
      <c r="F126" t="s">
        <v>167</v>
      </c>
      <c r="G126" t="s">
        <v>61</v>
      </c>
      <c r="H126" t="s">
        <v>62</v>
      </c>
      <c r="I126" t="s">
        <v>17</v>
      </c>
      <c r="J126">
        <v>0</v>
      </c>
      <c r="K126">
        <v>1461</v>
      </c>
      <c r="L126">
        <v>100550</v>
      </c>
      <c r="M126" t="str">
        <f t="shared" si="2"/>
        <v>SEZ / Industrial Zone</v>
      </c>
      <c r="N126" t="str">
        <f t="shared" si="3"/>
        <v>July</v>
      </c>
    </row>
    <row r="127" spans="1:14" x14ac:dyDescent="0.3">
      <c r="A127">
        <v>2</v>
      </c>
      <c r="B127">
        <v>2020</v>
      </c>
      <c r="C127" t="s">
        <v>79</v>
      </c>
      <c r="D127">
        <v>9</v>
      </c>
      <c r="E127" t="s">
        <v>351</v>
      </c>
      <c r="F127" t="s">
        <v>153</v>
      </c>
      <c r="G127" t="s">
        <v>52</v>
      </c>
      <c r="H127" t="s">
        <v>53</v>
      </c>
      <c r="I127" t="s">
        <v>17</v>
      </c>
      <c r="J127">
        <v>0</v>
      </c>
      <c r="K127">
        <v>2402</v>
      </c>
      <c r="L127">
        <v>171738</v>
      </c>
      <c r="M127" t="str">
        <f t="shared" si="2"/>
        <v>ICD / Dry Port</v>
      </c>
      <c r="N127" t="str">
        <f t="shared" si="3"/>
        <v>February</v>
      </c>
    </row>
    <row r="128" spans="1:14" x14ac:dyDescent="0.3">
      <c r="A128">
        <v>7</v>
      </c>
      <c r="B128">
        <v>2019</v>
      </c>
      <c r="C128" t="s">
        <v>28</v>
      </c>
      <c r="D128">
        <v>29</v>
      </c>
      <c r="E128" t="s">
        <v>29</v>
      </c>
      <c r="F128" t="s">
        <v>217</v>
      </c>
      <c r="G128" t="s">
        <v>173</v>
      </c>
      <c r="H128" t="s">
        <v>174</v>
      </c>
      <c r="I128" t="s">
        <v>17</v>
      </c>
      <c r="J128">
        <v>0</v>
      </c>
      <c r="K128">
        <v>793</v>
      </c>
      <c r="L128">
        <v>54537</v>
      </c>
      <c r="M128" t="str">
        <f t="shared" si="2"/>
        <v>Sea Port</v>
      </c>
      <c r="N128" t="str">
        <f t="shared" si="3"/>
        <v>July</v>
      </c>
    </row>
    <row r="129" spans="1:14" x14ac:dyDescent="0.3">
      <c r="A129">
        <v>9</v>
      </c>
      <c r="B129">
        <v>2018</v>
      </c>
      <c r="C129" t="s">
        <v>28</v>
      </c>
      <c r="D129">
        <v>29</v>
      </c>
      <c r="E129" t="s">
        <v>568</v>
      </c>
      <c r="F129" t="s">
        <v>35</v>
      </c>
      <c r="G129" t="s">
        <v>157</v>
      </c>
      <c r="H129" t="s">
        <v>158</v>
      </c>
      <c r="I129" t="s">
        <v>17</v>
      </c>
      <c r="J129">
        <v>0</v>
      </c>
      <c r="K129">
        <v>67097</v>
      </c>
      <c r="L129">
        <v>4845437</v>
      </c>
      <c r="M129" t="str">
        <f t="shared" si="2"/>
        <v>SEZ / Industrial Zone</v>
      </c>
      <c r="N129" t="str">
        <f t="shared" si="3"/>
        <v>September</v>
      </c>
    </row>
    <row r="130" spans="1:14" x14ac:dyDescent="0.3">
      <c r="A130">
        <v>3</v>
      </c>
      <c r="B130">
        <v>2024</v>
      </c>
      <c r="C130" t="s">
        <v>47</v>
      </c>
      <c r="D130">
        <v>7</v>
      </c>
      <c r="E130" t="s">
        <v>51</v>
      </c>
      <c r="F130" t="s">
        <v>153</v>
      </c>
      <c r="G130" t="s">
        <v>116</v>
      </c>
      <c r="H130" t="s">
        <v>117</v>
      </c>
      <c r="I130" t="s">
        <v>17</v>
      </c>
      <c r="J130">
        <v>0</v>
      </c>
      <c r="K130">
        <v>7553</v>
      </c>
      <c r="L130">
        <v>626896</v>
      </c>
      <c r="M130" t="str">
        <f t="shared" ref="M130:M193" si="4">IF(OR(ISNUMBER(SEARCH("ICD",E130)),ISNUMBER(SEARCH("Dry Port",E130))),"ICD / Dry Port", IF(OR(ISNUMBER(SEARCH("Sea",E130)),ISNUMBER(SEARCH("Port",E130))),"Sea Port", IF(OR(ISNUMBER(SEARCH("Air",E130)),ISNUMBER(SEARCH("Airport",E130))),"Air Port", IF(ISNUMBER(SEARCH("CFS",E130)),"CFS", IF(OR(ISNUMBER(SEARCH("SEZ",E130)),ISNUMBER(SEARCH("EPZ",E130)),ISNUMBER(SEARCH("FTWZ",E130)),ISNUMBER(SEARCH("City",E130)),ISNUMBER(SEARCH("Park",E130))),"SEZ / Industrial Zone", IF(OR(ISNUMBER(SEARCH("Land",E130)),ISNUMBER(SEARCH("LCS",E130)),ISNUMBER(SEARCH("Rly",E130))),"Land Port", "Other"))))))</f>
        <v>ICD / Dry Port</v>
      </c>
      <c r="N130" t="str">
        <f t="shared" si="3"/>
        <v>March</v>
      </c>
    </row>
    <row r="131" spans="1:14" x14ac:dyDescent="0.3">
      <c r="A131">
        <v>4</v>
      </c>
      <c r="B131">
        <v>2024</v>
      </c>
      <c r="C131" t="s">
        <v>58</v>
      </c>
      <c r="D131">
        <v>27</v>
      </c>
      <c r="E131" t="s">
        <v>125</v>
      </c>
      <c r="F131" t="s">
        <v>142</v>
      </c>
      <c r="G131" t="s">
        <v>86</v>
      </c>
      <c r="H131" t="s">
        <v>548</v>
      </c>
      <c r="I131" t="s">
        <v>17</v>
      </c>
      <c r="J131">
        <v>0</v>
      </c>
      <c r="K131">
        <v>197762</v>
      </c>
      <c r="L131">
        <v>16494448</v>
      </c>
      <c r="M131" t="str">
        <f t="shared" si="4"/>
        <v>Air Port</v>
      </c>
      <c r="N131" t="str">
        <f t="shared" ref="N131:N194" si="5">TEXT(DATE(2024, A131, 1), "mmmm")</f>
        <v>April</v>
      </c>
    </row>
    <row r="132" spans="1:14" x14ac:dyDescent="0.3">
      <c r="A132">
        <v>9</v>
      </c>
      <c r="B132">
        <v>2023</v>
      </c>
      <c r="C132" t="s">
        <v>23</v>
      </c>
      <c r="D132">
        <v>24</v>
      </c>
      <c r="E132" t="s">
        <v>24</v>
      </c>
      <c r="F132" t="s">
        <v>90</v>
      </c>
      <c r="G132" t="s">
        <v>56</v>
      </c>
      <c r="H132" t="s">
        <v>57</v>
      </c>
      <c r="I132" t="s">
        <v>17</v>
      </c>
      <c r="J132">
        <v>0</v>
      </c>
      <c r="K132">
        <v>6045224</v>
      </c>
      <c r="L132">
        <v>502040728</v>
      </c>
      <c r="M132" t="str">
        <f t="shared" si="4"/>
        <v>Other</v>
      </c>
      <c r="N132" t="str">
        <f t="shared" si="5"/>
        <v>September</v>
      </c>
    </row>
    <row r="133" spans="1:14" x14ac:dyDescent="0.3">
      <c r="A133">
        <v>9</v>
      </c>
      <c r="B133">
        <v>2021</v>
      </c>
      <c r="C133" t="s">
        <v>23</v>
      </c>
      <c r="D133">
        <v>24</v>
      </c>
      <c r="E133" t="s">
        <v>218</v>
      </c>
      <c r="F133" t="s">
        <v>25</v>
      </c>
      <c r="G133" t="s">
        <v>86</v>
      </c>
      <c r="H133" t="s">
        <v>548</v>
      </c>
      <c r="I133" t="s">
        <v>17</v>
      </c>
      <c r="J133">
        <v>0</v>
      </c>
      <c r="K133">
        <v>34335</v>
      </c>
      <c r="L133">
        <v>2525792</v>
      </c>
      <c r="M133" t="str">
        <f t="shared" si="4"/>
        <v>Air Port</v>
      </c>
      <c r="N133" t="str">
        <f t="shared" si="5"/>
        <v>September</v>
      </c>
    </row>
    <row r="134" spans="1:14" x14ac:dyDescent="0.3">
      <c r="A134">
        <v>6</v>
      </c>
      <c r="B134">
        <v>2021</v>
      </c>
      <c r="C134" t="s">
        <v>137</v>
      </c>
      <c r="D134">
        <v>36</v>
      </c>
      <c r="E134" t="s">
        <v>138</v>
      </c>
      <c r="F134" t="s">
        <v>90</v>
      </c>
      <c r="G134" t="s">
        <v>140</v>
      </c>
      <c r="H134" t="s">
        <v>554</v>
      </c>
      <c r="I134" t="s">
        <v>17</v>
      </c>
      <c r="J134">
        <v>0</v>
      </c>
      <c r="K134">
        <v>812060</v>
      </c>
      <c r="L134">
        <v>59733735</v>
      </c>
      <c r="M134" t="str">
        <f t="shared" si="4"/>
        <v>ICD / Dry Port</v>
      </c>
      <c r="N134" t="str">
        <f t="shared" si="5"/>
        <v>June</v>
      </c>
    </row>
    <row r="135" spans="1:14" x14ac:dyDescent="0.3">
      <c r="A135">
        <v>7</v>
      </c>
      <c r="B135">
        <v>2024</v>
      </c>
      <c r="C135" t="s">
        <v>137</v>
      </c>
      <c r="D135">
        <v>36</v>
      </c>
      <c r="E135" t="s">
        <v>148</v>
      </c>
      <c r="F135" t="s">
        <v>153</v>
      </c>
      <c r="G135" t="s">
        <v>308</v>
      </c>
      <c r="H135" t="s">
        <v>569</v>
      </c>
      <c r="I135" t="s">
        <v>17</v>
      </c>
      <c r="J135">
        <v>0</v>
      </c>
      <c r="K135">
        <v>294806</v>
      </c>
      <c r="L135">
        <v>24644234</v>
      </c>
      <c r="M135" t="str">
        <f t="shared" si="4"/>
        <v>Sea Port</v>
      </c>
      <c r="N135" t="str">
        <f t="shared" si="5"/>
        <v>July</v>
      </c>
    </row>
    <row r="136" spans="1:14" x14ac:dyDescent="0.3">
      <c r="A136">
        <v>2</v>
      </c>
      <c r="B136">
        <v>2024</v>
      </c>
      <c r="C136" t="s">
        <v>132</v>
      </c>
      <c r="D136">
        <v>19</v>
      </c>
      <c r="E136" t="s">
        <v>133</v>
      </c>
      <c r="F136" t="s">
        <v>317</v>
      </c>
      <c r="G136" t="s">
        <v>15</v>
      </c>
      <c r="H136" t="s">
        <v>359</v>
      </c>
      <c r="I136" t="s">
        <v>17</v>
      </c>
      <c r="J136">
        <v>0</v>
      </c>
      <c r="K136">
        <v>2091</v>
      </c>
      <c r="L136">
        <v>173441</v>
      </c>
      <c r="M136" t="str">
        <f t="shared" si="4"/>
        <v>Air Port</v>
      </c>
      <c r="N136" t="str">
        <f t="shared" si="5"/>
        <v>February</v>
      </c>
    </row>
    <row r="137" spans="1:14" x14ac:dyDescent="0.3">
      <c r="A137">
        <v>7</v>
      </c>
      <c r="B137">
        <v>2023</v>
      </c>
      <c r="C137" t="s">
        <v>58</v>
      </c>
      <c r="D137">
        <v>27</v>
      </c>
      <c r="E137" t="s">
        <v>125</v>
      </c>
      <c r="F137" t="s">
        <v>35</v>
      </c>
      <c r="G137" t="s">
        <v>347</v>
      </c>
      <c r="H137" t="s">
        <v>542</v>
      </c>
      <c r="I137" t="s">
        <v>17</v>
      </c>
      <c r="J137">
        <v>0</v>
      </c>
      <c r="K137">
        <v>277144</v>
      </c>
      <c r="L137">
        <v>22767959</v>
      </c>
      <c r="M137" t="str">
        <f t="shared" si="4"/>
        <v>Air Port</v>
      </c>
      <c r="N137" t="str">
        <f t="shared" si="5"/>
        <v>July</v>
      </c>
    </row>
    <row r="138" spans="1:14" x14ac:dyDescent="0.3">
      <c r="A138">
        <v>8</v>
      </c>
      <c r="B138">
        <v>2018</v>
      </c>
      <c r="C138" t="s">
        <v>79</v>
      </c>
      <c r="D138">
        <v>9</v>
      </c>
      <c r="E138" t="s">
        <v>189</v>
      </c>
      <c r="F138" t="s">
        <v>251</v>
      </c>
      <c r="G138" t="s">
        <v>61</v>
      </c>
      <c r="H138" t="s">
        <v>62</v>
      </c>
      <c r="I138" t="s">
        <v>17</v>
      </c>
      <c r="J138">
        <v>0</v>
      </c>
      <c r="K138">
        <v>141</v>
      </c>
      <c r="L138">
        <v>9819</v>
      </c>
      <c r="M138" t="str">
        <f t="shared" si="4"/>
        <v>Other</v>
      </c>
      <c r="N138" t="str">
        <f t="shared" si="5"/>
        <v>August</v>
      </c>
    </row>
    <row r="139" spans="1:14" x14ac:dyDescent="0.3">
      <c r="A139">
        <v>7</v>
      </c>
      <c r="B139">
        <v>2021</v>
      </c>
      <c r="C139" t="s">
        <v>275</v>
      </c>
      <c r="D139">
        <v>28</v>
      </c>
      <c r="E139" t="s">
        <v>469</v>
      </c>
      <c r="F139" t="s">
        <v>241</v>
      </c>
      <c r="G139" t="s">
        <v>52</v>
      </c>
      <c r="H139" t="s">
        <v>53</v>
      </c>
      <c r="I139" t="s">
        <v>17</v>
      </c>
      <c r="J139">
        <v>0</v>
      </c>
      <c r="K139">
        <v>87613</v>
      </c>
      <c r="L139">
        <v>6529551</v>
      </c>
      <c r="M139" t="str">
        <f t="shared" si="4"/>
        <v>Sea Port</v>
      </c>
      <c r="N139" t="str">
        <f t="shared" si="5"/>
        <v>July</v>
      </c>
    </row>
    <row r="140" spans="1:14" x14ac:dyDescent="0.3">
      <c r="A140">
        <v>3</v>
      </c>
      <c r="B140">
        <v>2018</v>
      </c>
      <c r="C140" t="s">
        <v>275</v>
      </c>
      <c r="D140">
        <v>28</v>
      </c>
      <c r="E140" t="s">
        <v>502</v>
      </c>
      <c r="F140" t="s">
        <v>90</v>
      </c>
      <c r="G140" t="s">
        <v>95</v>
      </c>
      <c r="H140" t="s">
        <v>96</v>
      </c>
      <c r="I140" t="s">
        <v>17</v>
      </c>
      <c r="J140">
        <v>0</v>
      </c>
      <c r="K140">
        <v>741019</v>
      </c>
      <c r="L140">
        <v>48182020</v>
      </c>
      <c r="M140" t="str">
        <f t="shared" si="4"/>
        <v>Other</v>
      </c>
      <c r="N140" t="str">
        <f t="shared" si="5"/>
        <v>March</v>
      </c>
    </row>
    <row r="141" spans="1:14" x14ac:dyDescent="0.3">
      <c r="A141">
        <v>2</v>
      </c>
      <c r="B141">
        <v>2020</v>
      </c>
      <c r="C141" t="s">
        <v>23</v>
      </c>
      <c r="D141">
        <v>24</v>
      </c>
      <c r="E141" t="s">
        <v>24</v>
      </c>
      <c r="F141" t="s">
        <v>508</v>
      </c>
      <c r="G141" t="s">
        <v>52</v>
      </c>
      <c r="H141" t="s">
        <v>53</v>
      </c>
      <c r="I141" t="s">
        <v>17</v>
      </c>
      <c r="J141">
        <v>0</v>
      </c>
      <c r="K141">
        <v>25231</v>
      </c>
      <c r="L141">
        <v>1803750</v>
      </c>
      <c r="M141" t="str">
        <f t="shared" si="4"/>
        <v>Other</v>
      </c>
      <c r="N141" t="str">
        <f t="shared" si="5"/>
        <v>February</v>
      </c>
    </row>
    <row r="142" spans="1:14" x14ac:dyDescent="0.3">
      <c r="A142">
        <v>3</v>
      </c>
      <c r="B142">
        <v>2019</v>
      </c>
      <c r="C142" t="s">
        <v>23</v>
      </c>
      <c r="D142">
        <v>24</v>
      </c>
      <c r="E142" t="s">
        <v>218</v>
      </c>
      <c r="F142" t="s">
        <v>131</v>
      </c>
      <c r="G142" t="s">
        <v>335</v>
      </c>
      <c r="H142" t="s">
        <v>507</v>
      </c>
      <c r="I142" t="s">
        <v>17</v>
      </c>
      <c r="J142">
        <v>0</v>
      </c>
      <c r="K142">
        <v>5881</v>
      </c>
      <c r="L142">
        <v>408595</v>
      </c>
      <c r="M142" t="str">
        <f t="shared" si="4"/>
        <v>Air Port</v>
      </c>
      <c r="N142" t="str">
        <f t="shared" si="5"/>
        <v>March</v>
      </c>
    </row>
    <row r="143" spans="1:14" x14ac:dyDescent="0.3">
      <c r="A143">
        <v>8</v>
      </c>
      <c r="B143">
        <v>2019</v>
      </c>
      <c r="C143" t="s">
        <v>47</v>
      </c>
      <c r="D143">
        <v>7</v>
      </c>
      <c r="E143" t="s">
        <v>48</v>
      </c>
      <c r="F143" t="s">
        <v>194</v>
      </c>
      <c r="G143" t="s">
        <v>273</v>
      </c>
      <c r="H143" t="s">
        <v>274</v>
      </c>
      <c r="I143" t="s">
        <v>17</v>
      </c>
      <c r="J143">
        <v>0</v>
      </c>
      <c r="K143">
        <v>203915</v>
      </c>
      <c r="L143">
        <v>14507685</v>
      </c>
      <c r="M143" t="str">
        <f t="shared" si="4"/>
        <v>Air Port</v>
      </c>
      <c r="N143" t="str">
        <f t="shared" si="5"/>
        <v>August</v>
      </c>
    </row>
    <row r="144" spans="1:14" x14ac:dyDescent="0.3">
      <c r="A144">
        <v>9</v>
      </c>
      <c r="B144">
        <v>2018</v>
      </c>
      <c r="C144" t="s">
        <v>47</v>
      </c>
      <c r="D144">
        <v>7</v>
      </c>
      <c r="E144" t="s">
        <v>51</v>
      </c>
      <c r="F144" t="s">
        <v>215</v>
      </c>
      <c r="G144" t="s">
        <v>45</v>
      </c>
      <c r="H144" t="s">
        <v>46</v>
      </c>
      <c r="I144" t="s">
        <v>17</v>
      </c>
      <c r="J144">
        <v>0</v>
      </c>
      <c r="K144">
        <v>7312</v>
      </c>
      <c r="L144">
        <v>528063</v>
      </c>
      <c r="M144" t="str">
        <f t="shared" si="4"/>
        <v>ICD / Dry Port</v>
      </c>
      <c r="N144" t="str">
        <f t="shared" si="5"/>
        <v>September</v>
      </c>
    </row>
    <row r="145" spans="1:14" x14ac:dyDescent="0.3">
      <c r="A145">
        <v>9</v>
      </c>
      <c r="B145">
        <v>2018</v>
      </c>
      <c r="C145" t="s">
        <v>58</v>
      </c>
      <c r="D145">
        <v>27</v>
      </c>
      <c r="E145" t="s">
        <v>59</v>
      </c>
      <c r="F145" t="s">
        <v>153</v>
      </c>
      <c r="G145" t="s">
        <v>146</v>
      </c>
      <c r="H145" t="s">
        <v>147</v>
      </c>
      <c r="I145" t="s">
        <v>17</v>
      </c>
      <c r="J145">
        <v>0</v>
      </c>
      <c r="K145">
        <v>3201023</v>
      </c>
      <c r="L145">
        <v>231162857</v>
      </c>
      <c r="M145" t="str">
        <f t="shared" si="4"/>
        <v>Sea Port</v>
      </c>
      <c r="N145" t="str">
        <f t="shared" si="5"/>
        <v>September</v>
      </c>
    </row>
    <row r="146" spans="1:14" x14ac:dyDescent="0.3">
      <c r="A146">
        <v>5</v>
      </c>
      <c r="B146">
        <v>2024</v>
      </c>
      <c r="C146" t="s">
        <v>58</v>
      </c>
      <c r="D146">
        <v>27</v>
      </c>
      <c r="E146" t="s">
        <v>310</v>
      </c>
      <c r="F146" t="s">
        <v>193</v>
      </c>
      <c r="G146" t="s">
        <v>335</v>
      </c>
      <c r="H146" t="s">
        <v>507</v>
      </c>
      <c r="I146" t="s">
        <v>17</v>
      </c>
      <c r="J146">
        <v>0</v>
      </c>
      <c r="K146">
        <v>40332</v>
      </c>
      <c r="L146">
        <v>3363677</v>
      </c>
      <c r="M146" t="str">
        <f t="shared" si="4"/>
        <v>SEZ / Industrial Zone</v>
      </c>
      <c r="N146" t="str">
        <f t="shared" si="5"/>
        <v>May</v>
      </c>
    </row>
    <row r="147" spans="1:14" x14ac:dyDescent="0.3">
      <c r="A147">
        <v>4</v>
      </c>
      <c r="B147">
        <v>2020</v>
      </c>
      <c r="C147" t="s">
        <v>58</v>
      </c>
      <c r="D147">
        <v>27</v>
      </c>
      <c r="E147" t="s">
        <v>216</v>
      </c>
      <c r="F147" t="s">
        <v>90</v>
      </c>
      <c r="G147" t="s">
        <v>86</v>
      </c>
      <c r="H147" t="s">
        <v>548</v>
      </c>
      <c r="I147" t="s">
        <v>17</v>
      </c>
      <c r="J147">
        <v>0</v>
      </c>
      <c r="K147">
        <v>504203</v>
      </c>
      <c r="L147">
        <v>38438704</v>
      </c>
      <c r="M147" t="str">
        <f t="shared" si="4"/>
        <v>Other</v>
      </c>
      <c r="N147" t="str">
        <f t="shared" si="5"/>
        <v>April</v>
      </c>
    </row>
    <row r="148" spans="1:14" x14ac:dyDescent="0.3">
      <c r="A148">
        <v>2</v>
      </c>
      <c r="B148">
        <v>2021</v>
      </c>
      <c r="C148" t="s">
        <v>79</v>
      </c>
      <c r="D148">
        <v>9</v>
      </c>
      <c r="E148" t="s">
        <v>351</v>
      </c>
      <c r="F148" t="s">
        <v>251</v>
      </c>
      <c r="G148" t="s">
        <v>121</v>
      </c>
      <c r="H148" t="s">
        <v>122</v>
      </c>
      <c r="I148" t="s">
        <v>17</v>
      </c>
      <c r="J148">
        <v>0</v>
      </c>
      <c r="K148">
        <v>4696</v>
      </c>
      <c r="L148">
        <v>341653</v>
      </c>
      <c r="M148" t="str">
        <f t="shared" si="4"/>
        <v>ICD / Dry Port</v>
      </c>
      <c r="N148" t="str">
        <f t="shared" si="5"/>
        <v>February</v>
      </c>
    </row>
    <row r="149" spans="1:14" x14ac:dyDescent="0.3">
      <c r="A149">
        <v>3</v>
      </c>
      <c r="B149">
        <v>2024</v>
      </c>
      <c r="C149" t="s">
        <v>47</v>
      </c>
      <c r="D149">
        <v>7</v>
      </c>
      <c r="E149" t="s">
        <v>51</v>
      </c>
      <c r="F149" t="s">
        <v>251</v>
      </c>
      <c r="G149" t="s">
        <v>106</v>
      </c>
      <c r="H149" t="s">
        <v>558</v>
      </c>
      <c r="I149" t="s">
        <v>17</v>
      </c>
      <c r="J149">
        <v>0</v>
      </c>
      <c r="K149">
        <v>1888246</v>
      </c>
      <c r="L149">
        <v>156719904</v>
      </c>
      <c r="M149" t="str">
        <f t="shared" si="4"/>
        <v>ICD / Dry Port</v>
      </c>
      <c r="N149" t="str">
        <f t="shared" si="5"/>
        <v>March</v>
      </c>
    </row>
    <row r="150" spans="1:14" x14ac:dyDescent="0.3">
      <c r="A150">
        <v>3</v>
      </c>
      <c r="B150">
        <v>2021</v>
      </c>
      <c r="C150" t="s">
        <v>23</v>
      </c>
      <c r="D150">
        <v>24</v>
      </c>
      <c r="E150" t="s">
        <v>486</v>
      </c>
      <c r="F150" t="s">
        <v>44</v>
      </c>
      <c r="G150" t="s">
        <v>15</v>
      </c>
      <c r="H150" t="s">
        <v>359</v>
      </c>
      <c r="I150" t="s">
        <v>17</v>
      </c>
      <c r="J150">
        <v>0</v>
      </c>
      <c r="K150">
        <v>2801</v>
      </c>
      <c r="L150">
        <v>203921</v>
      </c>
      <c r="M150" t="str">
        <f t="shared" si="4"/>
        <v>Other</v>
      </c>
      <c r="N150" t="str">
        <f t="shared" si="5"/>
        <v>March</v>
      </c>
    </row>
    <row r="151" spans="1:14" x14ac:dyDescent="0.3">
      <c r="A151">
        <v>5</v>
      </c>
      <c r="B151">
        <v>2024</v>
      </c>
      <c r="C151" t="s">
        <v>79</v>
      </c>
      <c r="D151">
        <v>9</v>
      </c>
      <c r="E151" t="s">
        <v>570</v>
      </c>
      <c r="F151" t="s">
        <v>167</v>
      </c>
      <c r="G151" t="s">
        <v>86</v>
      </c>
      <c r="H151" t="s">
        <v>548</v>
      </c>
      <c r="I151" t="s">
        <v>17</v>
      </c>
      <c r="J151">
        <v>0</v>
      </c>
      <c r="K151">
        <v>346116</v>
      </c>
      <c r="L151">
        <v>28865934</v>
      </c>
      <c r="M151" t="str">
        <f t="shared" si="4"/>
        <v>ICD / Dry Port</v>
      </c>
      <c r="N151" t="str">
        <f t="shared" si="5"/>
        <v>May</v>
      </c>
    </row>
    <row r="152" spans="1:14" x14ac:dyDescent="0.3">
      <c r="A152">
        <v>1</v>
      </c>
      <c r="B152">
        <v>2018</v>
      </c>
      <c r="C152" t="s">
        <v>73</v>
      </c>
      <c r="D152">
        <v>3</v>
      </c>
      <c r="E152" t="s">
        <v>74</v>
      </c>
      <c r="F152" t="s">
        <v>90</v>
      </c>
      <c r="G152" t="s">
        <v>154</v>
      </c>
      <c r="H152" t="s">
        <v>155</v>
      </c>
      <c r="I152" t="s">
        <v>17</v>
      </c>
      <c r="J152">
        <v>0</v>
      </c>
      <c r="K152">
        <v>598343</v>
      </c>
      <c r="L152">
        <v>38076673</v>
      </c>
      <c r="M152" t="str">
        <f t="shared" si="4"/>
        <v>ICD / Dry Port</v>
      </c>
      <c r="N152" t="str">
        <f t="shared" si="5"/>
        <v>January</v>
      </c>
    </row>
    <row r="153" spans="1:14" x14ac:dyDescent="0.3">
      <c r="A153">
        <v>4</v>
      </c>
      <c r="B153">
        <v>2020</v>
      </c>
      <c r="C153" t="s">
        <v>73</v>
      </c>
      <c r="D153">
        <v>3</v>
      </c>
      <c r="E153" t="s">
        <v>74</v>
      </c>
      <c r="F153" t="s">
        <v>153</v>
      </c>
      <c r="G153" t="s">
        <v>52</v>
      </c>
      <c r="H153" t="s">
        <v>53</v>
      </c>
      <c r="I153" t="s">
        <v>17</v>
      </c>
      <c r="J153">
        <v>0</v>
      </c>
      <c r="K153">
        <v>64695</v>
      </c>
      <c r="L153">
        <v>4932084</v>
      </c>
      <c r="M153" t="str">
        <f t="shared" si="4"/>
        <v>ICD / Dry Port</v>
      </c>
      <c r="N153" t="str">
        <f t="shared" si="5"/>
        <v>April</v>
      </c>
    </row>
    <row r="154" spans="1:14" x14ac:dyDescent="0.3">
      <c r="A154">
        <v>9</v>
      </c>
      <c r="B154">
        <v>2018</v>
      </c>
      <c r="C154" t="s">
        <v>132</v>
      </c>
      <c r="D154">
        <v>19</v>
      </c>
      <c r="E154" t="s">
        <v>209</v>
      </c>
      <c r="F154" t="s">
        <v>142</v>
      </c>
      <c r="G154" t="s">
        <v>571</v>
      </c>
      <c r="H154" t="s">
        <v>572</v>
      </c>
      <c r="I154" t="s">
        <v>17</v>
      </c>
      <c r="J154">
        <v>0</v>
      </c>
      <c r="K154">
        <v>146232</v>
      </c>
      <c r="L154">
        <v>10560163</v>
      </c>
      <c r="M154" t="str">
        <f t="shared" si="4"/>
        <v>Sea Port</v>
      </c>
      <c r="N154" t="str">
        <f t="shared" si="5"/>
        <v>September</v>
      </c>
    </row>
    <row r="155" spans="1:14" x14ac:dyDescent="0.3">
      <c r="A155">
        <v>12</v>
      </c>
      <c r="B155">
        <v>2020</v>
      </c>
      <c r="C155" t="s">
        <v>137</v>
      </c>
      <c r="D155">
        <v>36</v>
      </c>
      <c r="E155" t="s">
        <v>148</v>
      </c>
      <c r="F155" t="s">
        <v>320</v>
      </c>
      <c r="G155" t="s">
        <v>187</v>
      </c>
      <c r="H155" t="s">
        <v>188</v>
      </c>
      <c r="I155" t="s">
        <v>17</v>
      </c>
      <c r="J155">
        <v>0</v>
      </c>
      <c r="K155">
        <v>2066</v>
      </c>
      <c r="L155">
        <v>152026</v>
      </c>
      <c r="M155" t="str">
        <f t="shared" si="4"/>
        <v>Sea Port</v>
      </c>
      <c r="N155" t="str">
        <f t="shared" si="5"/>
        <v>December</v>
      </c>
    </row>
    <row r="156" spans="1:14" x14ac:dyDescent="0.3">
      <c r="A156">
        <v>8</v>
      </c>
      <c r="B156">
        <v>2023</v>
      </c>
      <c r="C156" t="s">
        <v>28</v>
      </c>
      <c r="D156">
        <v>29</v>
      </c>
      <c r="E156" t="s">
        <v>573</v>
      </c>
      <c r="F156" t="s">
        <v>320</v>
      </c>
      <c r="G156" t="s">
        <v>258</v>
      </c>
      <c r="H156" t="s">
        <v>259</v>
      </c>
      <c r="I156" t="s">
        <v>17</v>
      </c>
      <c r="J156">
        <v>0</v>
      </c>
      <c r="K156">
        <v>383</v>
      </c>
      <c r="L156">
        <v>31684</v>
      </c>
      <c r="M156" t="str">
        <f t="shared" si="4"/>
        <v>Other</v>
      </c>
      <c r="N156" t="str">
        <f t="shared" si="5"/>
        <v>August</v>
      </c>
    </row>
    <row r="157" spans="1:14" x14ac:dyDescent="0.3">
      <c r="A157">
        <v>5</v>
      </c>
      <c r="B157">
        <v>2019</v>
      </c>
      <c r="C157" t="s">
        <v>28</v>
      </c>
      <c r="D157">
        <v>29</v>
      </c>
      <c r="E157" t="s">
        <v>29</v>
      </c>
      <c r="F157" t="s">
        <v>108</v>
      </c>
      <c r="G157" t="s">
        <v>258</v>
      </c>
      <c r="H157" t="s">
        <v>259</v>
      </c>
      <c r="I157" t="s">
        <v>17</v>
      </c>
      <c r="J157">
        <v>0</v>
      </c>
      <c r="K157">
        <v>1941348</v>
      </c>
      <c r="L157">
        <v>135453835</v>
      </c>
      <c r="M157" t="str">
        <f t="shared" si="4"/>
        <v>Sea Port</v>
      </c>
      <c r="N157" t="str">
        <f t="shared" si="5"/>
        <v>May</v>
      </c>
    </row>
    <row r="158" spans="1:14" x14ac:dyDescent="0.3">
      <c r="A158">
        <v>1</v>
      </c>
      <c r="B158">
        <v>2020</v>
      </c>
      <c r="C158" t="s">
        <v>23</v>
      </c>
      <c r="D158">
        <v>24</v>
      </c>
      <c r="E158" t="s">
        <v>38</v>
      </c>
      <c r="F158" t="s">
        <v>131</v>
      </c>
      <c r="G158" t="s">
        <v>52</v>
      </c>
      <c r="H158" t="s">
        <v>53</v>
      </c>
      <c r="I158" t="s">
        <v>17</v>
      </c>
      <c r="J158">
        <v>0</v>
      </c>
      <c r="K158">
        <v>81043</v>
      </c>
      <c r="L158">
        <v>5779468</v>
      </c>
      <c r="M158" t="str">
        <f t="shared" si="4"/>
        <v>ICD / Dry Port</v>
      </c>
      <c r="N158" t="str">
        <f t="shared" si="5"/>
        <v>January</v>
      </c>
    </row>
    <row r="159" spans="1:14" x14ac:dyDescent="0.3">
      <c r="A159">
        <v>12</v>
      </c>
      <c r="B159">
        <v>2019</v>
      </c>
      <c r="C159" t="s">
        <v>58</v>
      </c>
      <c r="D159">
        <v>27</v>
      </c>
      <c r="E159" t="s">
        <v>125</v>
      </c>
      <c r="F159" t="s">
        <v>153</v>
      </c>
      <c r="G159" t="s">
        <v>52</v>
      </c>
      <c r="H159" t="s">
        <v>53</v>
      </c>
      <c r="I159" t="s">
        <v>17</v>
      </c>
      <c r="J159">
        <v>0</v>
      </c>
      <c r="K159">
        <v>7951563</v>
      </c>
      <c r="L159">
        <v>566092442</v>
      </c>
      <c r="M159" t="str">
        <f t="shared" si="4"/>
        <v>Air Port</v>
      </c>
      <c r="N159" t="str">
        <f t="shared" si="5"/>
        <v>December</v>
      </c>
    </row>
    <row r="160" spans="1:14" x14ac:dyDescent="0.3">
      <c r="A160">
        <v>12</v>
      </c>
      <c r="B160">
        <v>2021</v>
      </c>
      <c r="C160" t="s">
        <v>47</v>
      </c>
      <c r="D160">
        <v>7</v>
      </c>
      <c r="E160" t="s">
        <v>509</v>
      </c>
      <c r="F160" t="s">
        <v>194</v>
      </c>
      <c r="G160" t="s">
        <v>178</v>
      </c>
      <c r="H160" t="s">
        <v>510</v>
      </c>
      <c r="I160" t="s">
        <v>17</v>
      </c>
      <c r="J160">
        <v>0</v>
      </c>
      <c r="K160">
        <v>16561</v>
      </c>
      <c r="L160">
        <v>1248262</v>
      </c>
      <c r="M160" t="str">
        <f t="shared" si="4"/>
        <v>CFS</v>
      </c>
      <c r="N160" t="str">
        <f t="shared" si="5"/>
        <v>December</v>
      </c>
    </row>
    <row r="161" spans="1:14" x14ac:dyDescent="0.3">
      <c r="A161">
        <v>9</v>
      </c>
      <c r="B161">
        <v>2020</v>
      </c>
      <c r="C161" t="s">
        <v>58</v>
      </c>
      <c r="D161">
        <v>27</v>
      </c>
      <c r="E161" t="s">
        <v>125</v>
      </c>
      <c r="F161" t="s">
        <v>35</v>
      </c>
      <c r="G161" t="s">
        <v>282</v>
      </c>
      <c r="H161" t="s">
        <v>283</v>
      </c>
      <c r="I161" t="s">
        <v>17</v>
      </c>
      <c r="J161">
        <v>0</v>
      </c>
      <c r="K161">
        <v>9336</v>
      </c>
      <c r="L161">
        <v>686048</v>
      </c>
      <c r="M161" t="str">
        <f t="shared" si="4"/>
        <v>Air Port</v>
      </c>
      <c r="N161" t="str">
        <f t="shared" si="5"/>
        <v>September</v>
      </c>
    </row>
    <row r="162" spans="1:14" x14ac:dyDescent="0.3">
      <c r="A162">
        <v>11</v>
      </c>
      <c r="B162">
        <v>2018</v>
      </c>
      <c r="C162" t="s">
        <v>79</v>
      </c>
      <c r="D162">
        <v>9</v>
      </c>
      <c r="E162" t="s">
        <v>511</v>
      </c>
      <c r="F162" t="s">
        <v>90</v>
      </c>
      <c r="G162" t="s">
        <v>95</v>
      </c>
      <c r="H162" t="s">
        <v>96</v>
      </c>
      <c r="I162" t="s">
        <v>17</v>
      </c>
      <c r="J162">
        <v>0</v>
      </c>
      <c r="K162">
        <v>22396</v>
      </c>
      <c r="L162">
        <v>1609249</v>
      </c>
      <c r="M162" t="str">
        <f t="shared" si="4"/>
        <v>ICD / Dry Port</v>
      </c>
      <c r="N162" t="str">
        <f t="shared" si="5"/>
        <v>November</v>
      </c>
    </row>
    <row r="163" spans="1:14" x14ac:dyDescent="0.3">
      <c r="A163">
        <v>2</v>
      </c>
      <c r="B163">
        <v>2020</v>
      </c>
      <c r="C163" t="s">
        <v>47</v>
      </c>
      <c r="D163">
        <v>7</v>
      </c>
      <c r="E163" t="s">
        <v>48</v>
      </c>
      <c r="F163" t="s">
        <v>153</v>
      </c>
      <c r="G163" t="s">
        <v>127</v>
      </c>
      <c r="H163" t="s">
        <v>128</v>
      </c>
      <c r="I163" t="s">
        <v>17</v>
      </c>
      <c r="J163">
        <v>0</v>
      </c>
      <c r="K163">
        <v>4995916</v>
      </c>
      <c r="L163">
        <v>357150576</v>
      </c>
      <c r="M163" t="str">
        <f t="shared" si="4"/>
        <v>Air Port</v>
      </c>
      <c r="N163" t="str">
        <f t="shared" si="5"/>
        <v>February</v>
      </c>
    </row>
    <row r="164" spans="1:14" x14ac:dyDescent="0.3">
      <c r="A164">
        <v>12</v>
      </c>
      <c r="B164">
        <v>2021</v>
      </c>
      <c r="C164" t="s">
        <v>28</v>
      </c>
      <c r="D164">
        <v>29</v>
      </c>
      <c r="E164" t="s">
        <v>29</v>
      </c>
      <c r="F164" t="s">
        <v>320</v>
      </c>
      <c r="G164" t="s">
        <v>157</v>
      </c>
      <c r="H164" t="s">
        <v>158</v>
      </c>
      <c r="I164" t="s">
        <v>17</v>
      </c>
      <c r="J164">
        <v>0</v>
      </c>
      <c r="K164">
        <v>257688</v>
      </c>
      <c r="L164">
        <v>19422481</v>
      </c>
      <c r="M164" t="str">
        <f t="shared" si="4"/>
        <v>Sea Port</v>
      </c>
      <c r="N164" t="str">
        <f t="shared" si="5"/>
        <v>December</v>
      </c>
    </row>
    <row r="165" spans="1:14" x14ac:dyDescent="0.3">
      <c r="A165">
        <v>7</v>
      </c>
      <c r="B165">
        <v>2020</v>
      </c>
      <c r="C165" t="s">
        <v>23</v>
      </c>
      <c r="D165">
        <v>24</v>
      </c>
      <c r="E165" t="s">
        <v>235</v>
      </c>
      <c r="F165" t="s">
        <v>131</v>
      </c>
      <c r="G165" t="s">
        <v>146</v>
      </c>
      <c r="H165" t="s">
        <v>147</v>
      </c>
      <c r="I165" t="s">
        <v>17</v>
      </c>
      <c r="J165">
        <v>0</v>
      </c>
      <c r="K165">
        <v>74121</v>
      </c>
      <c r="L165">
        <v>5558596</v>
      </c>
      <c r="M165" t="str">
        <f t="shared" si="4"/>
        <v>Sea Port</v>
      </c>
      <c r="N165" t="str">
        <f t="shared" si="5"/>
        <v>July</v>
      </c>
    </row>
    <row r="166" spans="1:14" x14ac:dyDescent="0.3">
      <c r="A166">
        <v>9</v>
      </c>
      <c r="B166">
        <v>2023</v>
      </c>
      <c r="C166" t="s">
        <v>58</v>
      </c>
      <c r="D166">
        <v>27</v>
      </c>
      <c r="E166" t="s">
        <v>305</v>
      </c>
      <c r="F166" t="s">
        <v>241</v>
      </c>
      <c r="G166" t="s">
        <v>306</v>
      </c>
      <c r="H166" t="s">
        <v>307</v>
      </c>
      <c r="I166" t="s">
        <v>17</v>
      </c>
      <c r="J166">
        <v>0</v>
      </c>
      <c r="K166">
        <v>150691</v>
      </c>
      <c r="L166">
        <v>12514488</v>
      </c>
      <c r="M166" t="str">
        <f t="shared" si="4"/>
        <v>Other</v>
      </c>
      <c r="N166" t="str">
        <f t="shared" si="5"/>
        <v>September</v>
      </c>
    </row>
    <row r="167" spans="1:14" x14ac:dyDescent="0.3">
      <c r="A167">
        <v>4</v>
      </c>
      <c r="B167">
        <v>2022</v>
      </c>
      <c r="C167" t="s">
        <v>58</v>
      </c>
      <c r="D167">
        <v>27</v>
      </c>
      <c r="E167" t="s">
        <v>59</v>
      </c>
      <c r="F167" t="s">
        <v>262</v>
      </c>
      <c r="G167" t="s">
        <v>154</v>
      </c>
      <c r="H167" t="s">
        <v>155</v>
      </c>
      <c r="I167" t="s">
        <v>17</v>
      </c>
      <c r="J167">
        <v>0</v>
      </c>
      <c r="K167">
        <v>5053</v>
      </c>
      <c r="L167">
        <v>384875</v>
      </c>
      <c r="M167" t="str">
        <f t="shared" si="4"/>
        <v>Sea Port</v>
      </c>
      <c r="N167" t="str">
        <f t="shared" si="5"/>
        <v>April</v>
      </c>
    </row>
    <row r="168" spans="1:14" x14ac:dyDescent="0.3">
      <c r="A168">
        <v>8</v>
      </c>
      <c r="B168">
        <v>2018</v>
      </c>
      <c r="C168" t="s">
        <v>275</v>
      </c>
      <c r="D168">
        <v>28</v>
      </c>
      <c r="E168" t="s">
        <v>574</v>
      </c>
      <c r="F168" t="s">
        <v>350</v>
      </c>
      <c r="G168" t="s">
        <v>86</v>
      </c>
      <c r="H168" t="s">
        <v>548</v>
      </c>
      <c r="I168" t="s">
        <v>17</v>
      </c>
      <c r="J168">
        <v>0</v>
      </c>
      <c r="K168">
        <v>51128</v>
      </c>
      <c r="L168">
        <v>3555799</v>
      </c>
      <c r="M168" t="str">
        <f t="shared" si="4"/>
        <v>SEZ / Industrial Zone</v>
      </c>
      <c r="N168" t="str">
        <f t="shared" si="5"/>
        <v>August</v>
      </c>
    </row>
    <row r="169" spans="1:14" x14ac:dyDescent="0.3">
      <c r="A169">
        <v>10</v>
      </c>
      <c r="B169">
        <v>2023</v>
      </c>
      <c r="C169" t="s">
        <v>79</v>
      </c>
      <c r="D169">
        <v>9</v>
      </c>
      <c r="E169" t="s">
        <v>213</v>
      </c>
      <c r="F169" t="s">
        <v>153</v>
      </c>
      <c r="G169" t="s">
        <v>187</v>
      </c>
      <c r="H169" t="s">
        <v>188</v>
      </c>
      <c r="I169" t="s">
        <v>17</v>
      </c>
      <c r="J169">
        <v>0</v>
      </c>
      <c r="K169">
        <v>15169</v>
      </c>
      <c r="L169">
        <v>1262576</v>
      </c>
      <c r="M169" t="str">
        <f t="shared" si="4"/>
        <v>SEZ / Industrial Zone</v>
      </c>
      <c r="N169" t="str">
        <f t="shared" si="5"/>
        <v>October</v>
      </c>
    </row>
    <row r="170" spans="1:14" x14ac:dyDescent="0.3">
      <c r="A170">
        <v>8</v>
      </c>
      <c r="B170">
        <v>2023</v>
      </c>
      <c r="C170" t="s">
        <v>58</v>
      </c>
      <c r="D170">
        <v>27</v>
      </c>
      <c r="E170" t="s">
        <v>310</v>
      </c>
      <c r="F170" t="s">
        <v>320</v>
      </c>
      <c r="G170" t="s">
        <v>173</v>
      </c>
      <c r="H170" t="s">
        <v>174</v>
      </c>
      <c r="I170" t="s">
        <v>17</v>
      </c>
      <c r="J170">
        <v>0</v>
      </c>
      <c r="K170">
        <v>252</v>
      </c>
      <c r="L170">
        <v>20900</v>
      </c>
      <c r="M170" t="str">
        <f t="shared" si="4"/>
        <v>SEZ / Industrial Zone</v>
      </c>
      <c r="N170" t="str">
        <f t="shared" si="5"/>
        <v>August</v>
      </c>
    </row>
    <row r="171" spans="1:14" x14ac:dyDescent="0.3">
      <c r="A171">
        <v>8</v>
      </c>
      <c r="B171">
        <v>2021</v>
      </c>
      <c r="C171" t="s">
        <v>58</v>
      </c>
      <c r="D171">
        <v>27</v>
      </c>
      <c r="E171" t="s">
        <v>310</v>
      </c>
      <c r="F171" t="s">
        <v>118</v>
      </c>
      <c r="G171" t="s">
        <v>146</v>
      </c>
      <c r="H171" t="s">
        <v>147</v>
      </c>
      <c r="I171" t="s">
        <v>17</v>
      </c>
      <c r="J171">
        <v>0</v>
      </c>
      <c r="K171">
        <v>1</v>
      </c>
      <c r="L171">
        <v>75</v>
      </c>
      <c r="M171" t="str">
        <f t="shared" si="4"/>
        <v>SEZ / Industrial Zone</v>
      </c>
      <c r="N171" t="str">
        <f t="shared" si="5"/>
        <v>August</v>
      </c>
    </row>
    <row r="172" spans="1:14" x14ac:dyDescent="0.3">
      <c r="A172">
        <v>3</v>
      </c>
      <c r="B172">
        <v>2021</v>
      </c>
      <c r="C172" t="s">
        <v>28</v>
      </c>
      <c r="D172">
        <v>29</v>
      </c>
      <c r="E172" t="s">
        <v>29</v>
      </c>
      <c r="F172" t="s">
        <v>118</v>
      </c>
      <c r="G172" t="s">
        <v>338</v>
      </c>
      <c r="H172" t="s">
        <v>339</v>
      </c>
      <c r="I172" t="s">
        <v>17</v>
      </c>
      <c r="J172">
        <v>0</v>
      </c>
      <c r="K172">
        <v>6879</v>
      </c>
      <c r="L172">
        <v>500721</v>
      </c>
      <c r="M172" t="str">
        <f t="shared" si="4"/>
        <v>Sea Port</v>
      </c>
      <c r="N172" t="str">
        <f t="shared" si="5"/>
        <v>March</v>
      </c>
    </row>
    <row r="173" spans="1:14" x14ac:dyDescent="0.3">
      <c r="A173">
        <v>6</v>
      </c>
      <c r="B173">
        <v>2023</v>
      </c>
      <c r="C173" t="s">
        <v>132</v>
      </c>
      <c r="D173">
        <v>19</v>
      </c>
      <c r="E173" t="s">
        <v>133</v>
      </c>
      <c r="F173" t="s">
        <v>575</v>
      </c>
      <c r="G173" t="s">
        <v>106</v>
      </c>
      <c r="H173" t="s">
        <v>558</v>
      </c>
      <c r="I173" t="s">
        <v>17</v>
      </c>
      <c r="J173">
        <v>0</v>
      </c>
      <c r="K173">
        <v>1130</v>
      </c>
      <c r="L173">
        <v>92933</v>
      </c>
      <c r="M173" t="str">
        <f t="shared" si="4"/>
        <v>Air Port</v>
      </c>
      <c r="N173" t="str">
        <f t="shared" si="5"/>
        <v>June</v>
      </c>
    </row>
    <row r="174" spans="1:14" x14ac:dyDescent="0.3">
      <c r="A174">
        <v>4</v>
      </c>
      <c r="B174">
        <v>2019</v>
      </c>
      <c r="C174" t="s">
        <v>58</v>
      </c>
      <c r="D174">
        <v>27</v>
      </c>
      <c r="E174" t="s">
        <v>59</v>
      </c>
      <c r="F174" t="s">
        <v>320</v>
      </c>
      <c r="G174" t="s">
        <v>77</v>
      </c>
      <c r="H174" t="s">
        <v>78</v>
      </c>
      <c r="I174" t="s">
        <v>17</v>
      </c>
      <c r="J174">
        <v>0</v>
      </c>
      <c r="K174">
        <v>13007</v>
      </c>
      <c r="L174">
        <v>903025</v>
      </c>
      <c r="M174" t="str">
        <f t="shared" si="4"/>
        <v>Sea Port</v>
      </c>
      <c r="N174" t="str">
        <f t="shared" si="5"/>
        <v>April</v>
      </c>
    </row>
    <row r="175" spans="1:14" x14ac:dyDescent="0.3">
      <c r="A175">
        <v>9</v>
      </c>
      <c r="B175">
        <v>2022</v>
      </c>
      <c r="C175" t="s">
        <v>79</v>
      </c>
      <c r="D175">
        <v>9</v>
      </c>
      <c r="E175" t="s">
        <v>213</v>
      </c>
      <c r="F175" t="s">
        <v>90</v>
      </c>
      <c r="G175" t="s">
        <v>306</v>
      </c>
      <c r="H175" t="s">
        <v>307</v>
      </c>
      <c r="I175" t="s">
        <v>17</v>
      </c>
      <c r="J175">
        <v>0</v>
      </c>
      <c r="K175">
        <v>6894</v>
      </c>
      <c r="L175">
        <v>553105</v>
      </c>
      <c r="M175" t="str">
        <f t="shared" si="4"/>
        <v>SEZ / Industrial Zone</v>
      </c>
      <c r="N175" t="str">
        <f t="shared" si="5"/>
        <v>September</v>
      </c>
    </row>
    <row r="176" spans="1:14" x14ac:dyDescent="0.3">
      <c r="A176">
        <v>1</v>
      </c>
      <c r="B176">
        <v>2023</v>
      </c>
      <c r="C176" t="s">
        <v>79</v>
      </c>
      <c r="D176">
        <v>9</v>
      </c>
      <c r="E176" t="s">
        <v>162</v>
      </c>
      <c r="F176" t="s">
        <v>108</v>
      </c>
      <c r="G176" t="s">
        <v>335</v>
      </c>
      <c r="H176" t="s">
        <v>507</v>
      </c>
      <c r="I176" t="s">
        <v>17</v>
      </c>
      <c r="J176">
        <v>0</v>
      </c>
      <c r="K176">
        <v>447873</v>
      </c>
      <c r="L176">
        <v>36680638</v>
      </c>
      <c r="M176" t="str">
        <f t="shared" si="4"/>
        <v>ICD / Dry Port</v>
      </c>
      <c r="N176" t="str">
        <f t="shared" si="5"/>
        <v>January</v>
      </c>
    </row>
    <row r="177" spans="1:14" x14ac:dyDescent="0.3">
      <c r="A177">
        <v>10</v>
      </c>
      <c r="B177">
        <v>2019</v>
      </c>
      <c r="C177" t="s">
        <v>47</v>
      </c>
      <c r="D177">
        <v>7</v>
      </c>
      <c r="E177" t="s">
        <v>48</v>
      </c>
      <c r="F177" t="s">
        <v>277</v>
      </c>
      <c r="G177" t="s">
        <v>168</v>
      </c>
      <c r="H177" t="s">
        <v>169</v>
      </c>
      <c r="I177" t="s">
        <v>17</v>
      </c>
      <c r="J177">
        <v>0</v>
      </c>
      <c r="K177">
        <v>2568</v>
      </c>
      <c r="L177">
        <v>182408</v>
      </c>
      <c r="M177" t="str">
        <f t="shared" si="4"/>
        <v>Air Port</v>
      </c>
      <c r="N177" t="str">
        <f t="shared" si="5"/>
        <v>October</v>
      </c>
    </row>
    <row r="178" spans="1:14" x14ac:dyDescent="0.3">
      <c r="A178">
        <v>10</v>
      </c>
      <c r="B178">
        <v>2019</v>
      </c>
      <c r="C178" t="s">
        <v>47</v>
      </c>
      <c r="D178">
        <v>7</v>
      </c>
      <c r="E178" t="s">
        <v>51</v>
      </c>
      <c r="F178" t="s">
        <v>194</v>
      </c>
      <c r="G178" t="s">
        <v>140</v>
      </c>
      <c r="H178" t="s">
        <v>554</v>
      </c>
      <c r="I178" t="s">
        <v>17</v>
      </c>
      <c r="J178">
        <v>0</v>
      </c>
      <c r="K178">
        <v>11138</v>
      </c>
      <c r="L178">
        <v>791256</v>
      </c>
      <c r="M178" t="str">
        <f t="shared" si="4"/>
        <v>ICD / Dry Port</v>
      </c>
      <c r="N178" t="str">
        <f t="shared" si="5"/>
        <v>October</v>
      </c>
    </row>
    <row r="179" spans="1:14" x14ac:dyDescent="0.3">
      <c r="A179">
        <v>3</v>
      </c>
      <c r="B179">
        <v>2019</v>
      </c>
      <c r="C179" t="s">
        <v>33</v>
      </c>
      <c r="D179">
        <v>32</v>
      </c>
      <c r="E179" t="s">
        <v>561</v>
      </c>
      <c r="F179" t="s">
        <v>237</v>
      </c>
      <c r="G179" t="s">
        <v>127</v>
      </c>
      <c r="H179" t="s">
        <v>128</v>
      </c>
      <c r="I179" t="s">
        <v>17</v>
      </c>
      <c r="J179">
        <v>0</v>
      </c>
      <c r="K179">
        <v>130397</v>
      </c>
      <c r="L179">
        <v>9059812</v>
      </c>
      <c r="M179" t="str">
        <f t="shared" si="4"/>
        <v>Sea Port</v>
      </c>
      <c r="N179" t="str">
        <f t="shared" si="5"/>
        <v>March</v>
      </c>
    </row>
    <row r="180" spans="1:14" x14ac:dyDescent="0.3">
      <c r="A180">
        <v>12</v>
      </c>
      <c r="B180">
        <v>2018</v>
      </c>
      <c r="C180" t="s">
        <v>47</v>
      </c>
      <c r="D180">
        <v>7</v>
      </c>
      <c r="E180" t="s">
        <v>48</v>
      </c>
      <c r="F180" t="s">
        <v>105</v>
      </c>
      <c r="G180" t="s">
        <v>95</v>
      </c>
      <c r="H180" t="s">
        <v>96</v>
      </c>
      <c r="I180" t="s">
        <v>17</v>
      </c>
      <c r="J180">
        <v>0</v>
      </c>
      <c r="K180">
        <v>698383</v>
      </c>
      <c r="L180">
        <v>49397384</v>
      </c>
      <c r="M180" t="str">
        <f t="shared" si="4"/>
        <v>Air Port</v>
      </c>
      <c r="N180" t="str">
        <f t="shared" si="5"/>
        <v>December</v>
      </c>
    </row>
    <row r="181" spans="1:14" x14ac:dyDescent="0.3">
      <c r="A181">
        <v>8</v>
      </c>
      <c r="B181">
        <v>2018</v>
      </c>
      <c r="C181" t="s">
        <v>58</v>
      </c>
      <c r="D181">
        <v>27</v>
      </c>
      <c r="E181" t="s">
        <v>125</v>
      </c>
      <c r="F181" t="s">
        <v>118</v>
      </c>
      <c r="G181" t="s">
        <v>86</v>
      </c>
      <c r="H181" t="s">
        <v>548</v>
      </c>
      <c r="I181" t="s">
        <v>17</v>
      </c>
      <c r="J181">
        <v>0</v>
      </c>
      <c r="K181">
        <v>812885</v>
      </c>
      <c r="L181">
        <v>56533307</v>
      </c>
      <c r="M181" t="str">
        <f t="shared" si="4"/>
        <v>Air Port</v>
      </c>
      <c r="N181" t="str">
        <f t="shared" si="5"/>
        <v>August</v>
      </c>
    </row>
    <row r="182" spans="1:14" x14ac:dyDescent="0.3">
      <c r="A182">
        <v>11</v>
      </c>
      <c r="B182">
        <v>2020</v>
      </c>
      <c r="C182" t="s">
        <v>47</v>
      </c>
      <c r="D182">
        <v>7</v>
      </c>
      <c r="E182" t="s">
        <v>48</v>
      </c>
      <c r="F182" t="s">
        <v>251</v>
      </c>
      <c r="G182" t="s">
        <v>282</v>
      </c>
      <c r="H182" t="s">
        <v>283</v>
      </c>
      <c r="I182" t="s">
        <v>17</v>
      </c>
      <c r="J182">
        <v>0</v>
      </c>
      <c r="K182">
        <v>1580</v>
      </c>
      <c r="L182">
        <v>117236</v>
      </c>
      <c r="M182" t="str">
        <f t="shared" si="4"/>
        <v>Air Port</v>
      </c>
      <c r="N182" t="str">
        <f t="shared" si="5"/>
        <v>November</v>
      </c>
    </row>
    <row r="183" spans="1:14" x14ac:dyDescent="0.3">
      <c r="A183">
        <v>5</v>
      </c>
      <c r="B183">
        <v>2022</v>
      </c>
      <c r="C183" t="s">
        <v>47</v>
      </c>
      <c r="D183">
        <v>7</v>
      </c>
      <c r="E183" t="s">
        <v>48</v>
      </c>
      <c r="F183" t="s">
        <v>68</v>
      </c>
      <c r="G183" t="s">
        <v>21</v>
      </c>
      <c r="H183" t="s">
        <v>22</v>
      </c>
      <c r="I183" t="s">
        <v>17</v>
      </c>
      <c r="J183">
        <v>0</v>
      </c>
      <c r="K183">
        <v>31202</v>
      </c>
      <c r="L183">
        <v>2412511</v>
      </c>
      <c r="M183" t="str">
        <f t="shared" si="4"/>
        <v>Air Port</v>
      </c>
      <c r="N183" t="str">
        <f t="shared" si="5"/>
        <v>May</v>
      </c>
    </row>
    <row r="184" spans="1:14" x14ac:dyDescent="0.3">
      <c r="A184">
        <v>2</v>
      </c>
      <c r="B184">
        <v>2018</v>
      </c>
      <c r="C184" t="s">
        <v>23</v>
      </c>
      <c r="D184">
        <v>24</v>
      </c>
      <c r="E184" t="s">
        <v>24</v>
      </c>
      <c r="F184" t="s">
        <v>263</v>
      </c>
      <c r="G184" t="s">
        <v>308</v>
      </c>
      <c r="H184" t="s">
        <v>569</v>
      </c>
      <c r="I184" t="s">
        <v>17</v>
      </c>
      <c r="J184">
        <v>0</v>
      </c>
      <c r="K184">
        <v>5002</v>
      </c>
      <c r="L184">
        <v>322000</v>
      </c>
      <c r="M184" t="str">
        <f t="shared" si="4"/>
        <v>Other</v>
      </c>
      <c r="N184" t="str">
        <f t="shared" si="5"/>
        <v>February</v>
      </c>
    </row>
    <row r="185" spans="1:14" x14ac:dyDescent="0.3">
      <c r="A185">
        <v>5</v>
      </c>
      <c r="B185">
        <v>2021</v>
      </c>
      <c r="C185" t="s">
        <v>58</v>
      </c>
      <c r="D185">
        <v>27</v>
      </c>
      <c r="E185" t="s">
        <v>290</v>
      </c>
      <c r="F185" t="s">
        <v>35</v>
      </c>
      <c r="G185" t="s">
        <v>258</v>
      </c>
      <c r="H185" t="s">
        <v>259</v>
      </c>
      <c r="I185" t="s">
        <v>17</v>
      </c>
      <c r="J185">
        <v>0</v>
      </c>
      <c r="K185">
        <v>418703</v>
      </c>
      <c r="L185">
        <v>30677400</v>
      </c>
      <c r="M185" t="str">
        <f t="shared" si="4"/>
        <v>SEZ / Industrial Zone</v>
      </c>
      <c r="N185" t="str">
        <f t="shared" si="5"/>
        <v>May</v>
      </c>
    </row>
    <row r="186" spans="1:14" x14ac:dyDescent="0.3">
      <c r="A186">
        <v>1</v>
      </c>
      <c r="B186">
        <v>2018</v>
      </c>
      <c r="C186" t="s">
        <v>28</v>
      </c>
      <c r="D186">
        <v>29</v>
      </c>
      <c r="E186" t="s">
        <v>29</v>
      </c>
      <c r="F186" t="s">
        <v>320</v>
      </c>
      <c r="G186" t="s">
        <v>61</v>
      </c>
      <c r="H186" t="s">
        <v>62</v>
      </c>
      <c r="I186" t="s">
        <v>17</v>
      </c>
      <c r="J186">
        <v>0</v>
      </c>
      <c r="K186">
        <v>5644</v>
      </c>
      <c r="L186">
        <v>359137</v>
      </c>
      <c r="M186" t="str">
        <f t="shared" si="4"/>
        <v>Sea Port</v>
      </c>
      <c r="N186" t="str">
        <f t="shared" si="5"/>
        <v>January</v>
      </c>
    </row>
    <row r="187" spans="1:14" x14ac:dyDescent="0.3">
      <c r="A187">
        <v>12</v>
      </c>
      <c r="B187">
        <v>2019</v>
      </c>
      <c r="C187" t="s">
        <v>28</v>
      </c>
      <c r="D187">
        <v>29</v>
      </c>
      <c r="E187" t="s">
        <v>236</v>
      </c>
      <c r="F187" t="s">
        <v>90</v>
      </c>
      <c r="G187" t="s">
        <v>168</v>
      </c>
      <c r="H187" t="s">
        <v>169</v>
      </c>
      <c r="I187" t="s">
        <v>17</v>
      </c>
      <c r="J187">
        <v>0</v>
      </c>
      <c r="K187">
        <v>323663</v>
      </c>
      <c r="L187">
        <v>23042411</v>
      </c>
      <c r="M187" t="str">
        <f t="shared" si="4"/>
        <v>ICD / Dry Port</v>
      </c>
      <c r="N187" t="str">
        <f t="shared" si="5"/>
        <v>December</v>
      </c>
    </row>
    <row r="188" spans="1:14" x14ac:dyDescent="0.3">
      <c r="A188">
        <v>6</v>
      </c>
      <c r="B188">
        <v>2018</v>
      </c>
      <c r="C188" t="s">
        <v>23</v>
      </c>
      <c r="D188">
        <v>24</v>
      </c>
      <c r="E188" t="s">
        <v>218</v>
      </c>
      <c r="F188" t="s">
        <v>190</v>
      </c>
      <c r="G188" t="s">
        <v>121</v>
      </c>
      <c r="H188" t="s">
        <v>122</v>
      </c>
      <c r="I188" t="s">
        <v>17</v>
      </c>
      <c r="J188">
        <v>0</v>
      </c>
      <c r="K188">
        <v>3289</v>
      </c>
      <c r="L188">
        <v>222997</v>
      </c>
      <c r="M188" t="str">
        <f t="shared" si="4"/>
        <v>Air Port</v>
      </c>
      <c r="N188" t="str">
        <f t="shared" si="5"/>
        <v>June</v>
      </c>
    </row>
    <row r="189" spans="1:14" x14ac:dyDescent="0.3">
      <c r="A189">
        <v>12</v>
      </c>
      <c r="B189">
        <v>2021</v>
      </c>
      <c r="C189" t="s">
        <v>58</v>
      </c>
      <c r="D189">
        <v>27</v>
      </c>
      <c r="E189" t="s">
        <v>290</v>
      </c>
      <c r="F189" t="s">
        <v>172</v>
      </c>
      <c r="G189" t="s">
        <v>95</v>
      </c>
      <c r="H189" t="s">
        <v>96</v>
      </c>
      <c r="I189" t="s">
        <v>17</v>
      </c>
      <c r="J189">
        <v>0</v>
      </c>
      <c r="K189">
        <v>3648</v>
      </c>
      <c r="L189">
        <v>274976</v>
      </c>
      <c r="M189" t="str">
        <f t="shared" si="4"/>
        <v>SEZ / Industrial Zone</v>
      </c>
      <c r="N189" t="str">
        <f t="shared" si="5"/>
        <v>December</v>
      </c>
    </row>
    <row r="190" spans="1:14" x14ac:dyDescent="0.3">
      <c r="A190">
        <v>1</v>
      </c>
      <c r="B190">
        <v>2024</v>
      </c>
      <c r="C190" t="s">
        <v>137</v>
      </c>
      <c r="D190">
        <v>36</v>
      </c>
      <c r="E190" t="s">
        <v>148</v>
      </c>
      <c r="F190" t="s">
        <v>153</v>
      </c>
      <c r="G190" t="s">
        <v>45</v>
      </c>
      <c r="H190" t="s">
        <v>46</v>
      </c>
      <c r="I190" t="s">
        <v>17</v>
      </c>
      <c r="J190">
        <v>0</v>
      </c>
      <c r="K190">
        <v>47941</v>
      </c>
      <c r="L190">
        <v>3984880</v>
      </c>
      <c r="M190" t="str">
        <f t="shared" si="4"/>
        <v>Sea Port</v>
      </c>
      <c r="N190" t="str">
        <f t="shared" si="5"/>
        <v>January</v>
      </c>
    </row>
    <row r="191" spans="1:14" x14ac:dyDescent="0.3">
      <c r="A191">
        <v>3</v>
      </c>
      <c r="B191">
        <v>2024</v>
      </c>
      <c r="C191" t="s">
        <v>33</v>
      </c>
      <c r="D191">
        <v>32</v>
      </c>
      <c r="E191" t="s">
        <v>576</v>
      </c>
      <c r="F191" t="s">
        <v>194</v>
      </c>
      <c r="G191" t="s">
        <v>56</v>
      </c>
      <c r="H191" t="s">
        <v>57</v>
      </c>
      <c r="I191" t="s">
        <v>17</v>
      </c>
      <c r="J191">
        <v>0</v>
      </c>
      <c r="K191">
        <v>9255</v>
      </c>
      <c r="L191">
        <v>768173</v>
      </c>
      <c r="M191" t="str">
        <f t="shared" si="4"/>
        <v>SEZ / Industrial Zone</v>
      </c>
      <c r="N191" t="str">
        <f t="shared" si="5"/>
        <v>March</v>
      </c>
    </row>
    <row r="192" spans="1:14" x14ac:dyDescent="0.3">
      <c r="A192">
        <v>9</v>
      </c>
      <c r="B192">
        <v>2021</v>
      </c>
      <c r="C192" t="s">
        <v>58</v>
      </c>
      <c r="D192">
        <v>27</v>
      </c>
      <c r="E192" t="s">
        <v>533</v>
      </c>
      <c r="F192" t="s">
        <v>131</v>
      </c>
      <c r="G192" t="s">
        <v>150</v>
      </c>
      <c r="H192" t="s">
        <v>151</v>
      </c>
      <c r="I192" t="s">
        <v>17</v>
      </c>
      <c r="J192">
        <v>0</v>
      </c>
      <c r="K192">
        <v>887022</v>
      </c>
      <c r="L192">
        <v>65252352</v>
      </c>
      <c r="M192" t="str">
        <f t="shared" si="4"/>
        <v>Sea Port</v>
      </c>
      <c r="N192" t="str">
        <f t="shared" si="5"/>
        <v>September</v>
      </c>
    </row>
    <row r="193" spans="1:14" x14ac:dyDescent="0.3">
      <c r="A193">
        <v>1</v>
      </c>
      <c r="B193">
        <v>2019</v>
      </c>
      <c r="C193" t="s">
        <v>18</v>
      </c>
      <c r="D193">
        <v>6</v>
      </c>
      <c r="E193" t="s">
        <v>19</v>
      </c>
      <c r="F193" t="s">
        <v>193</v>
      </c>
      <c r="G193" t="s">
        <v>99</v>
      </c>
      <c r="H193" t="s">
        <v>549</v>
      </c>
      <c r="I193" t="s">
        <v>17</v>
      </c>
      <c r="J193">
        <v>0</v>
      </c>
      <c r="K193">
        <v>167316</v>
      </c>
      <c r="L193">
        <v>11834779</v>
      </c>
      <c r="M193" t="str">
        <f t="shared" si="4"/>
        <v>ICD / Dry Port</v>
      </c>
      <c r="N193" t="str">
        <f t="shared" si="5"/>
        <v>January</v>
      </c>
    </row>
    <row r="194" spans="1:14" x14ac:dyDescent="0.3">
      <c r="A194">
        <v>4</v>
      </c>
      <c r="B194">
        <v>2019</v>
      </c>
      <c r="C194" t="s">
        <v>18</v>
      </c>
      <c r="D194">
        <v>6</v>
      </c>
      <c r="E194" t="s">
        <v>19</v>
      </c>
      <c r="F194" t="s">
        <v>320</v>
      </c>
      <c r="G194" t="s">
        <v>168</v>
      </c>
      <c r="H194" t="s">
        <v>169</v>
      </c>
      <c r="I194" t="s">
        <v>17</v>
      </c>
      <c r="J194">
        <v>0</v>
      </c>
      <c r="K194">
        <v>5011</v>
      </c>
      <c r="L194">
        <v>347928</v>
      </c>
      <c r="M194" t="str">
        <f t="shared" ref="M194:M257" si="6">IF(OR(ISNUMBER(SEARCH("ICD",E194)),ISNUMBER(SEARCH("Dry Port",E194))),"ICD / Dry Port", IF(OR(ISNUMBER(SEARCH("Sea",E194)),ISNUMBER(SEARCH("Port",E194))),"Sea Port", IF(OR(ISNUMBER(SEARCH("Air",E194)),ISNUMBER(SEARCH("Airport",E194))),"Air Port", IF(ISNUMBER(SEARCH("CFS",E194)),"CFS", IF(OR(ISNUMBER(SEARCH("SEZ",E194)),ISNUMBER(SEARCH("EPZ",E194)),ISNUMBER(SEARCH("FTWZ",E194)),ISNUMBER(SEARCH("City",E194)),ISNUMBER(SEARCH("Park",E194))),"SEZ / Industrial Zone", IF(OR(ISNUMBER(SEARCH("Land",E194)),ISNUMBER(SEARCH("LCS",E194)),ISNUMBER(SEARCH("Rly",E194))),"Land Port", "Other"))))))</f>
        <v>ICD / Dry Port</v>
      </c>
      <c r="N194" t="str">
        <f t="shared" si="5"/>
        <v>April</v>
      </c>
    </row>
    <row r="195" spans="1:14" x14ac:dyDescent="0.3">
      <c r="A195">
        <v>9</v>
      </c>
      <c r="B195">
        <v>2022</v>
      </c>
      <c r="C195" t="s">
        <v>23</v>
      </c>
      <c r="D195">
        <v>24</v>
      </c>
      <c r="E195" t="s">
        <v>24</v>
      </c>
      <c r="F195" t="s">
        <v>25</v>
      </c>
      <c r="G195" t="s">
        <v>15</v>
      </c>
      <c r="H195" t="s">
        <v>359</v>
      </c>
      <c r="I195" t="s">
        <v>17</v>
      </c>
      <c r="J195">
        <v>0</v>
      </c>
      <c r="K195">
        <v>157263</v>
      </c>
      <c r="L195">
        <v>12617471</v>
      </c>
      <c r="M195" t="str">
        <f t="shared" si="6"/>
        <v>Other</v>
      </c>
      <c r="N195" t="str">
        <f t="shared" ref="N195:N258" si="7">TEXT(DATE(2024, A195, 1), "mmmm")</f>
        <v>September</v>
      </c>
    </row>
    <row r="196" spans="1:14" x14ac:dyDescent="0.3">
      <c r="A196">
        <v>6</v>
      </c>
      <c r="B196">
        <v>2021</v>
      </c>
      <c r="C196" t="s">
        <v>28</v>
      </c>
      <c r="D196">
        <v>29</v>
      </c>
      <c r="E196" t="s">
        <v>29</v>
      </c>
      <c r="F196" t="s">
        <v>14</v>
      </c>
      <c r="G196" t="s">
        <v>56</v>
      </c>
      <c r="H196" t="s">
        <v>57</v>
      </c>
      <c r="I196" t="s">
        <v>17</v>
      </c>
      <c r="J196">
        <v>0</v>
      </c>
      <c r="K196">
        <v>3141</v>
      </c>
      <c r="L196">
        <v>231060</v>
      </c>
      <c r="M196" t="str">
        <f t="shared" si="6"/>
        <v>Sea Port</v>
      </c>
      <c r="N196" t="str">
        <f t="shared" si="7"/>
        <v>June</v>
      </c>
    </row>
    <row r="197" spans="1:14" x14ac:dyDescent="0.3">
      <c r="A197">
        <v>7</v>
      </c>
      <c r="B197">
        <v>2018</v>
      </c>
      <c r="C197" t="s">
        <v>47</v>
      </c>
      <c r="D197">
        <v>7</v>
      </c>
      <c r="E197" t="s">
        <v>509</v>
      </c>
      <c r="F197" t="s">
        <v>35</v>
      </c>
      <c r="G197" t="s">
        <v>61</v>
      </c>
      <c r="H197" t="s">
        <v>62</v>
      </c>
      <c r="I197" t="s">
        <v>17</v>
      </c>
      <c r="J197">
        <v>0</v>
      </c>
      <c r="K197">
        <v>151676</v>
      </c>
      <c r="L197">
        <v>10419149</v>
      </c>
      <c r="M197" t="str">
        <f t="shared" si="6"/>
        <v>CFS</v>
      </c>
      <c r="N197" t="str">
        <f t="shared" si="7"/>
        <v>July</v>
      </c>
    </row>
    <row r="198" spans="1:14" x14ac:dyDescent="0.3">
      <c r="A198">
        <v>9</v>
      </c>
      <c r="B198">
        <v>2023</v>
      </c>
      <c r="C198" t="s">
        <v>18</v>
      </c>
      <c r="D198">
        <v>6</v>
      </c>
      <c r="E198" t="s">
        <v>254</v>
      </c>
      <c r="F198" t="s">
        <v>303</v>
      </c>
      <c r="G198" t="s">
        <v>146</v>
      </c>
      <c r="H198" t="s">
        <v>147</v>
      </c>
      <c r="I198" t="s">
        <v>17</v>
      </c>
      <c r="J198">
        <v>0</v>
      </c>
      <c r="K198">
        <v>1019901</v>
      </c>
      <c r="L198">
        <v>84700268</v>
      </c>
      <c r="M198" t="str">
        <f t="shared" si="6"/>
        <v>ICD / Dry Port</v>
      </c>
      <c r="N198" t="str">
        <f t="shared" si="7"/>
        <v>September</v>
      </c>
    </row>
    <row r="199" spans="1:14" x14ac:dyDescent="0.3">
      <c r="A199">
        <v>1</v>
      </c>
      <c r="B199">
        <v>2024</v>
      </c>
      <c r="C199" t="s">
        <v>18</v>
      </c>
      <c r="D199">
        <v>6</v>
      </c>
      <c r="E199" t="s">
        <v>166</v>
      </c>
      <c r="F199" t="s">
        <v>90</v>
      </c>
      <c r="G199" t="s">
        <v>61</v>
      </c>
      <c r="H199" t="s">
        <v>62</v>
      </c>
      <c r="I199" t="s">
        <v>17</v>
      </c>
      <c r="J199">
        <v>0</v>
      </c>
      <c r="K199">
        <v>576164</v>
      </c>
      <c r="L199">
        <v>47891346</v>
      </c>
      <c r="M199" t="str">
        <f t="shared" si="6"/>
        <v>ICD / Dry Port</v>
      </c>
      <c r="N199" t="str">
        <f t="shared" si="7"/>
        <v>January</v>
      </c>
    </row>
    <row r="200" spans="1:14" x14ac:dyDescent="0.3">
      <c r="A200">
        <v>10</v>
      </c>
      <c r="B200">
        <v>2023</v>
      </c>
      <c r="C200" t="s">
        <v>23</v>
      </c>
      <c r="D200">
        <v>24</v>
      </c>
      <c r="E200" t="s">
        <v>577</v>
      </c>
      <c r="F200" t="s">
        <v>25</v>
      </c>
      <c r="G200" t="s">
        <v>173</v>
      </c>
      <c r="H200" t="s">
        <v>174</v>
      </c>
      <c r="I200" t="s">
        <v>17</v>
      </c>
      <c r="J200">
        <v>0</v>
      </c>
      <c r="K200">
        <v>547</v>
      </c>
      <c r="L200">
        <v>45529</v>
      </c>
      <c r="M200" t="str">
        <f t="shared" si="6"/>
        <v>SEZ / Industrial Zone</v>
      </c>
      <c r="N200" t="str">
        <f t="shared" si="7"/>
        <v>October</v>
      </c>
    </row>
    <row r="201" spans="1:14" x14ac:dyDescent="0.3">
      <c r="A201">
        <v>6</v>
      </c>
      <c r="B201">
        <v>2018</v>
      </c>
      <c r="C201" t="s">
        <v>137</v>
      </c>
      <c r="D201">
        <v>36</v>
      </c>
      <c r="E201" t="s">
        <v>148</v>
      </c>
      <c r="F201" t="s">
        <v>142</v>
      </c>
      <c r="G201" t="s">
        <v>157</v>
      </c>
      <c r="H201" t="s">
        <v>158</v>
      </c>
      <c r="I201" t="s">
        <v>17</v>
      </c>
      <c r="J201">
        <v>0</v>
      </c>
      <c r="K201">
        <v>488</v>
      </c>
      <c r="L201">
        <v>33112</v>
      </c>
      <c r="M201" t="str">
        <f t="shared" si="6"/>
        <v>Sea Port</v>
      </c>
      <c r="N201" t="str">
        <f t="shared" si="7"/>
        <v>June</v>
      </c>
    </row>
    <row r="202" spans="1:14" x14ac:dyDescent="0.3">
      <c r="A202">
        <v>4</v>
      </c>
      <c r="B202">
        <v>2019</v>
      </c>
      <c r="C202" t="s">
        <v>58</v>
      </c>
      <c r="D202">
        <v>27</v>
      </c>
      <c r="E202" t="s">
        <v>216</v>
      </c>
      <c r="F202" t="s">
        <v>90</v>
      </c>
      <c r="G202" t="s">
        <v>106</v>
      </c>
      <c r="H202" t="s">
        <v>558</v>
      </c>
      <c r="I202" t="s">
        <v>17</v>
      </c>
      <c r="J202">
        <v>0</v>
      </c>
      <c r="K202">
        <v>76</v>
      </c>
      <c r="L202">
        <v>5273</v>
      </c>
      <c r="M202" t="str">
        <f t="shared" si="6"/>
        <v>Other</v>
      </c>
      <c r="N202" t="str">
        <f t="shared" si="7"/>
        <v>April</v>
      </c>
    </row>
    <row r="203" spans="1:14" x14ac:dyDescent="0.3">
      <c r="A203">
        <v>11</v>
      </c>
      <c r="B203">
        <v>2018</v>
      </c>
      <c r="C203" t="s">
        <v>73</v>
      </c>
      <c r="D203">
        <v>3</v>
      </c>
      <c r="E203" t="s">
        <v>181</v>
      </c>
      <c r="F203" t="s">
        <v>167</v>
      </c>
      <c r="G203" t="s">
        <v>95</v>
      </c>
      <c r="H203" t="s">
        <v>96</v>
      </c>
      <c r="I203" t="s">
        <v>17</v>
      </c>
      <c r="J203">
        <v>0</v>
      </c>
      <c r="K203">
        <v>3837</v>
      </c>
      <c r="L203">
        <v>275681</v>
      </c>
      <c r="M203" t="str">
        <f t="shared" si="6"/>
        <v>ICD / Dry Port</v>
      </c>
      <c r="N203" t="str">
        <f t="shared" si="7"/>
        <v>November</v>
      </c>
    </row>
    <row r="204" spans="1:14" x14ac:dyDescent="0.3">
      <c r="A204">
        <v>11</v>
      </c>
      <c r="B204">
        <v>2020</v>
      </c>
      <c r="C204" t="s">
        <v>23</v>
      </c>
      <c r="D204">
        <v>24</v>
      </c>
      <c r="E204" t="s">
        <v>340</v>
      </c>
      <c r="F204" t="s">
        <v>551</v>
      </c>
      <c r="G204" t="s">
        <v>173</v>
      </c>
      <c r="H204" t="s">
        <v>174</v>
      </c>
      <c r="I204" t="s">
        <v>17</v>
      </c>
      <c r="J204">
        <v>0</v>
      </c>
      <c r="K204">
        <v>2081</v>
      </c>
      <c r="L204">
        <v>154457</v>
      </c>
      <c r="M204" t="str">
        <f t="shared" si="6"/>
        <v>SEZ / Industrial Zone</v>
      </c>
      <c r="N204" t="str">
        <f t="shared" si="7"/>
        <v>November</v>
      </c>
    </row>
    <row r="205" spans="1:14" x14ac:dyDescent="0.3">
      <c r="A205">
        <v>6</v>
      </c>
      <c r="B205">
        <v>2019</v>
      </c>
      <c r="C205" t="s">
        <v>12</v>
      </c>
      <c r="D205">
        <v>8</v>
      </c>
      <c r="E205" t="s">
        <v>13</v>
      </c>
      <c r="F205" t="s">
        <v>90</v>
      </c>
      <c r="G205" t="s">
        <v>36</v>
      </c>
      <c r="H205" t="s">
        <v>37</v>
      </c>
      <c r="I205" t="s">
        <v>17</v>
      </c>
      <c r="J205">
        <v>0</v>
      </c>
      <c r="K205">
        <v>9440290</v>
      </c>
      <c r="L205">
        <v>655523353</v>
      </c>
      <c r="M205" t="str">
        <f t="shared" si="6"/>
        <v>ICD / Dry Port</v>
      </c>
      <c r="N205" t="str">
        <f t="shared" si="7"/>
        <v>June</v>
      </c>
    </row>
    <row r="206" spans="1:14" x14ac:dyDescent="0.3">
      <c r="A206">
        <v>12</v>
      </c>
      <c r="B206">
        <v>2023</v>
      </c>
      <c r="C206" t="s">
        <v>47</v>
      </c>
      <c r="D206">
        <v>7</v>
      </c>
      <c r="E206" t="s">
        <v>51</v>
      </c>
      <c r="F206" t="s">
        <v>20</v>
      </c>
      <c r="G206" t="s">
        <v>45</v>
      </c>
      <c r="H206" t="s">
        <v>46</v>
      </c>
      <c r="I206" t="s">
        <v>17</v>
      </c>
      <c r="J206">
        <v>0</v>
      </c>
      <c r="K206">
        <v>63628</v>
      </c>
      <c r="L206">
        <v>5298832</v>
      </c>
      <c r="M206" t="str">
        <f t="shared" si="6"/>
        <v>ICD / Dry Port</v>
      </c>
      <c r="N206" t="str">
        <f t="shared" si="7"/>
        <v>December</v>
      </c>
    </row>
    <row r="207" spans="1:14" x14ac:dyDescent="0.3">
      <c r="A207">
        <v>5</v>
      </c>
      <c r="B207">
        <v>2019</v>
      </c>
      <c r="C207" t="s">
        <v>18</v>
      </c>
      <c r="D207">
        <v>6</v>
      </c>
      <c r="E207" t="s">
        <v>97</v>
      </c>
      <c r="F207" t="s">
        <v>237</v>
      </c>
      <c r="G207" t="s">
        <v>36</v>
      </c>
      <c r="H207" t="s">
        <v>37</v>
      </c>
      <c r="I207" t="s">
        <v>17</v>
      </c>
      <c r="J207">
        <v>0</v>
      </c>
      <c r="K207">
        <v>129784</v>
      </c>
      <c r="L207">
        <v>9055432</v>
      </c>
      <c r="M207" t="str">
        <f t="shared" si="6"/>
        <v>ICD / Dry Port</v>
      </c>
      <c r="N207" t="str">
        <f t="shared" si="7"/>
        <v>May</v>
      </c>
    </row>
    <row r="208" spans="1:14" x14ac:dyDescent="0.3">
      <c r="A208">
        <v>3</v>
      </c>
      <c r="B208">
        <v>2019</v>
      </c>
      <c r="C208" t="s">
        <v>58</v>
      </c>
      <c r="D208">
        <v>27</v>
      </c>
      <c r="E208" t="s">
        <v>59</v>
      </c>
      <c r="F208" t="s">
        <v>215</v>
      </c>
      <c r="G208" t="s">
        <v>308</v>
      </c>
      <c r="H208" t="s">
        <v>569</v>
      </c>
      <c r="I208" t="s">
        <v>17</v>
      </c>
      <c r="J208">
        <v>0</v>
      </c>
      <c r="K208">
        <v>98336</v>
      </c>
      <c r="L208">
        <v>6832225</v>
      </c>
      <c r="M208" t="str">
        <f t="shared" si="6"/>
        <v>Sea Port</v>
      </c>
      <c r="N208" t="str">
        <f t="shared" si="7"/>
        <v>March</v>
      </c>
    </row>
    <row r="209" spans="1:14" x14ac:dyDescent="0.3">
      <c r="A209">
        <v>4</v>
      </c>
      <c r="B209">
        <v>2022</v>
      </c>
      <c r="C209" t="s">
        <v>132</v>
      </c>
      <c r="D209">
        <v>19</v>
      </c>
      <c r="E209" t="s">
        <v>209</v>
      </c>
      <c r="F209" t="s">
        <v>194</v>
      </c>
      <c r="G209" t="s">
        <v>127</v>
      </c>
      <c r="H209" t="s">
        <v>128</v>
      </c>
      <c r="I209" t="s">
        <v>17</v>
      </c>
      <c r="J209">
        <v>0</v>
      </c>
      <c r="K209">
        <v>140975</v>
      </c>
      <c r="L209">
        <v>10737724</v>
      </c>
      <c r="M209" t="str">
        <f t="shared" si="6"/>
        <v>Sea Port</v>
      </c>
      <c r="N209" t="str">
        <f t="shared" si="7"/>
        <v>April</v>
      </c>
    </row>
    <row r="210" spans="1:14" x14ac:dyDescent="0.3">
      <c r="A210">
        <v>5</v>
      </c>
      <c r="B210">
        <v>2021</v>
      </c>
      <c r="C210" t="s">
        <v>275</v>
      </c>
      <c r="D210">
        <v>28</v>
      </c>
      <c r="E210" t="s">
        <v>578</v>
      </c>
      <c r="F210" t="s">
        <v>90</v>
      </c>
      <c r="G210" t="s">
        <v>146</v>
      </c>
      <c r="H210" t="s">
        <v>147</v>
      </c>
      <c r="I210" t="s">
        <v>17</v>
      </c>
      <c r="J210">
        <v>0</v>
      </c>
      <c r="K210">
        <v>214</v>
      </c>
      <c r="L210">
        <v>15696</v>
      </c>
      <c r="M210" t="str">
        <f t="shared" si="6"/>
        <v>Other</v>
      </c>
      <c r="N210" t="str">
        <f t="shared" si="7"/>
        <v>May</v>
      </c>
    </row>
    <row r="211" spans="1:14" x14ac:dyDescent="0.3">
      <c r="A211">
        <v>4</v>
      </c>
      <c r="B211">
        <v>2021</v>
      </c>
      <c r="C211" t="s">
        <v>47</v>
      </c>
      <c r="D211">
        <v>7</v>
      </c>
      <c r="E211" t="s">
        <v>48</v>
      </c>
      <c r="F211" t="s">
        <v>317</v>
      </c>
      <c r="G211" t="s">
        <v>127</v>
      </c>
      <c r="H211" t="s">
        <v>128</v>
      </c>
      <c r="I211" t="s">
        <v>17</v>
      </c>
      <c r="J211">
        <v>0</v>
      </c>
      <c r="K211">
        <v>1198785</v>
      </c>
      <c r="L211">
        <v>89276214</v>
      </c>
      <c r="M211" t="str">
        <f t="shared" si="6"/>
        <v>Air Port</v>
      </c>
      <c r="N211" t="str">
        <f t="shared" si="7"/>
        <v>April</v>
      </c>
    </row>
    <row r="212" spans="1:14" x14ac:dyDescent="0.3">
      <c r="A212">
        <v>12</v>
      </c>
      <c r="B212">
        <v>2018</v>
      </c>
      <c r="C212" t="s">
        <v>33</v>
      </c>
      <c r="D212">
        <v>32</v>
      </c>
      <c r="E212" t="s">
        <v>34</v>
      </c>
      <c r="F212" t="s">
        <v>35</v>
      </c>
      <c r="G212" t="s">
        <v>99</v>
      </c>
      <c r="H212" t="s">
        <v>549</v>
      </c>
      <c r="I212" t="s">
        <v>17</v>
      </c>
      <c r="J212">
        <v>0</v>
      </c>
      <c r="K212">
        <v>109639</v>
      </c>
      <c r="L212">
        <v>7754915</v>
      </c>
      <c r="M212" t="str">
        <f t="shared" si="6"/>
        <v>Sea Port</v>
      </c>
      <c r="N212" t="str">
        <f t="shared" si="7"/>
        <v>December</v>
      </c>
    </row>
    <row r="213" spans="1:14" x14ac:dyDescent="0.3">
      <c r="A213">
        <v>12</v>
      </c>
      <c r="B213">
        <v>2022</v>
      </c>
      <c r="C213" t="s">
        <v>79</v>
      </c>
      <c r="D213">
        <v>9</v>
      </c>
      <c r="E213" t="s">
        <v>88</v>
      </c>
      <c r="F213" t="s">
        <v>90</v>
      </c>
      <c r="G213" t="s">
        <v>56</v>
      </c>
      <c r="H213" t="s">
        <v>57</v>
      </c>
      <c r="I213" t="s">
        <v>17</v>
      </c>
      <c r="J213">
        <v>0</v>
      </c>
      <c r="K213">
        <v>48137</v>
      </c>
      <c r="L213">
        <v>3969600</v>
      </c>
      <c r="M213" t="str">
        <f t="shared" si="6"/>
        <v>CFS</v>
      </c>
      <c r="N213" t="str">
        <f t="shared" si="7"/>
        <v>December</v>
      </c>
    </row>
    <row r="214" spans="1:14" x14ac:dyDescent="0.3">
      <c r="A214">
        <v>11</v>
      </c>
      <c r="B214">
        <v>2021</v>
      </c>
      <c r="C214" t="s">
        <v>28</v>
      </c>
      <c r="D214">
        <v>29</v>
      </c>
      <c r="E214" t="s">
        <v>29</v>
      </c>
      <c r="F214" t="s">
        <v>90</v>
      </c>
      <c r="G214" t="s">
        <v>52</v>
      </c>
      <c r="H214" t="s">
        <v>53</v>
      </c>
      <c r="I214" t="s">
        <v>17</v>
      </c>
      <c r="J214">
        <v>0</v>
      </c>
      <c r="K214">
        <v>4439570</v>
      </c>
      <c r="L214">
        <v>330732393</v>
      </c>
      <c r="M214" t="str">
        <f t="shared" si="6"/>
        <v>Sea Port</v>
      </c>
      <c r="N214" t="str">
        <f t="shared" si="7"/>
        <v>November</v>
      </c>
    </row>
    <row r="215" spans="1:14" x14ac:dyDescent="0.3">
      <c r="A215">
        <v>5</v>
      </c>
      <c r="B215">
        <v>2024</v>
      </c>
      <c r="C215" t="s">
        <v>23</v>
      </c>
      <c r="D215">
        <v>24</v>
      </c>
      <c r="E215" t="s">
        <v>38</v>
      </c>
      <c r="F215" t="s">
        <v>251</v>
      </c>
      <c r="G215" t="s">
        <v>21</v>
      </c>
      <c r="H215" t="s">
        <v>22</v>
      </c>
      <c r="I215" t="s">
        <v>17</v>
      </c>
      <c r="J215">
        <v>0</v>
      </c>
      <c r="K215">
        <v>547815</v>
      </c>
      <c r="L215">
        <v>45687461</v>
      </c>
      <c r="M215" t="str">
        <f t="shared" si="6"/>
        <v>ICD / Dry Port</v>
      </c>
      <c r="N215" t="str">
        <f t="shared" si="7"/>
        <v>May</v>
      </c>
    </row>
    <row r="216" spans="1:14" x14ac:dyDescent="0.3">
      <c r="A216">
        <v>9</v>
      </c>
      <c r="B216">
        <v>2022</v>
      </c>
      <c r="C216" t="s">
        <v>47</v>
      </c>
      <c r="D216">
        <v>7</v>
      </c>
      <c r="E216" t="s">
        <v>48</v>
      </c>
      <c r="F216" t="s">
        <v>25</v>
      </c>
      <c r="G216" t="s">
        <v>65</v>
      </c>
      <c r="H216" t="s">
        <v>66</v>
      </c>
      <c r="I216" t="s">
        <v>17</v>
      </c>
      <c r="J216">
        <v>0</v>
      </c>
      <c r="K216">
        <v>10847</v>
      </c>
      <c r="L216">
        <v>870310</v>
      </c>
      <c r="M216" t="str">
        <f t="shared" si="6"/>
        <v>Air Port</v>
      </c>
      <c r="N216" t="str">
        <f t="shared" si="7"/>
        <v>September</v>
      </c>
    </row>
    <row r="217" spans="1:14" x14ac:dyDescent="0.3">
      <c r="A217">
        <v>9</v>
      </c>
      <c r="B217">
        <v>2019</v>
      </c>
      <c r="C217" t="s">
        <v>18</v>
      </c>
      <c r="D217">
        <v>6</v>
      </c>
      <c r="E217" t="s">
        <v>97</v>
      </c>
      <c r="F217" t="s">
        <v>251</v>
      </c>
      <c r="G217" t="s">
        <v>338</v>
      </c>
      <c r="H217" t="s">
        <v>339</v>
      </c>
      <c r="I217" t="s">
        <v>17</v>
      </c>
      <c r="J217">
        <v>0</v>
      </c>
      <c r="K217">
        <v>214110</v>
      </c>
      <c r="L217">
        <v>15273250</v>
      </c>
      <c r="M217" t="str">
        <f t="shared" si="6"/>
        <v>ICD / Dry Port</v>
      </c>
      <c r="N217" t="str">
        <f t="shared" si="7"/>
        <v>September</v>
      </c>
    </row>
    <row r="218" spans="1:14" x14ac:dyDescent="0.3">
      <c r="A218">
        <v>3</v>
      </c>
      <c r="B218">
        <v>2019</v>
      </c>
      <c r="C218" t="s">
        <v>47</v>
      </c>
      <c r="D218">
        <v>7</v>
      </c>
      <c r="E218" t="s">
        <v>509</v>
      </c>
      <c r="F218" t="s">
        <v>251</v>
      </c>
      <c r="G218" t="s">
        <v>579</v>
      </c>
      <c r="H218" t="s">
        <v>580</v>
      </c>
      <c r="I218" t="s">
        <v>17</v>
      </c>
      <c r="J218">
        <v>0</v>
      </c>
      <c r="K218">
        <v>21380</v>
      </c>
      <c r="L218">
        <v>1485472</v>
      </c>
      <c r="M218" t="str">
        <f t="shared" si="6"/>
        <v>CFS</v>
      </c>
      <c r="N218" t="str">
        <f t="shared" si="7"/>
        <v>March</v>
      </c>
    </row>
    <row r="219" spans="1:14" x14ac:dyDescent="0.3">
      <c r="A219">
        <v>1</v>
      </c>
      <c r="B219">
        <v>2021</v>
      </c>
      <c r="C219" t="s">
        <v>23</v>
      </c>
      <c r="D219">
        <v>24</v>
      </c>
      <c r="E219" t="s">
        <v>24</v>
      </c>
      <c r="F219" t="s">
        <v>217</v>
      </c>
      <c r="G219" t="s">
        <v>106</v>
      </c>
      <c r="H219" t="s">
        <v>558</v>
      </c>
      <c r="I219" t="s">
        <v>17</v>
      </c>
      <c r="J219">
        <v>0</v>
      </c>
      <c r="K219">
        <v>69418</v>
      </c>
      <c r="L219">
        <v>5075144</v>
      </c>
      <c r="M219" t="str">
        <f t="shared" si="6"/>
        <v>Other</v>
      </c>
      <c r="N219" t="str">
        <f t="shared" si="7"/>
        <v>January</v>
      </c>
    </row>
    <row r="220" spans="1:14" x14ac:dyDescent="0.3">
      <c r="A220">
        <v>5</v>
      </c>
      <c r="B220">
        <v>2018</v>
      </c>
      <c r="C220" t="s">
        <v>132</v>
      </c>
      <c r="D220">
        <v>19</v>
      </c>
      <c r="E220" t="s">
        <v>133</v>
      </c>
      <c r="F220" t="s">
        <v>90</v>
      </c>
      <c r="G220" t="s">
        <v>306</v>
      </c>
      <c r="H220" t="s">
        <v>307</v>
      </c>
      <c r="I220" t="s">
        <v>17</v>
      </c>
      <c r="J220">
        <v>0</v>
      </c>
      <c r="K220">
        <v>13303</v>
      </c>
      <c r="L220">
        <v>898491</v>
      </c>
      <c r="M220" t="str">
        <f t="shared" si="6"/>
        <v>Air Port</v>
      </c>
      <c r="N220" t="str">
        <f t="shared" si="7"/>
        <v>May</v>
      </c>
    </row>
    <row r="221" spans="1:14" x14ac:dyDescent="0.3">
      <c r="A221">
        <v>5</v>
      </c>
      <c r="B221">
        <v>2022</v>
      </c>
      <c r="C221" t="s">
        <v>28</v>
      </c>
      <c r="D221">
        <v>29</v>
      </c>
      <c r="E221" t="s">
        <v>29</v>
      </c>
      <c r="F221" t="s">
        <v>14</v>
      </c>
      <c r="G221" t="s">
        <v>36</v>
      </c>
      <c r="H221" t="s">
        <v>37</v>
      </c>
      <c r="I221" t="s">
        <v>17</v>
      </c>
      <c r="J221">
        <v>0</v>
      </c>
      <c r="K221">
        <v>309856</v>
      </c>
      <c r="L221">
        <v>23957892</v>
      </c>
      <c r="M221" t="str">
        <f t="shared" si="6"/>
        <v>Sea Port</v>
      </c>
      <c r="N221" t="str">
        <f t="shared" si="7"/>
        <v>May</v>
      </c>
    </row>
    <row r="222" spans="1:14" x14ac:dyDescent="0.3">
      <c r="A222">
        <v>8</v>
      </c>
      <c r="B222">
        <v>2021</v>
      </c>
      <c r="C222" t="s">
        <v>58</v>
      </c>
      <c r="D222">
        <v>27</v>
      </c>
      <c r="E222" t="s">
        <v>387</v>
      </c>
      <c r="F222" t="s">
        <v>25</v>
      </c>
      <c r="G222" t="s">
        <v>146</v>
      </c>
      <c r="H222" t="s">
        <v>147</v>
      </c>
      <c r="I222" t="s">
        <v>17</v>
      </c>
      <c r="J222">
        <v>0</v>
      </c>
      <c r="K222">
        <v>262925</v>
      </c>
      <c r="L222">
        <v>19505007</v>
      </c>
      <c r="M222" t="str">
        <f t="shared" si="6"/>
        <v>ICD / Dry Port</v>
      </c>
      <c r="N222" t="str">
        <f t="shared" si="7"/>
        <v>August</v>
      </c>
    </row>
    <row r="223" spans="1:14" x14ac:dyDescent="0.3">
      <c r="A223">
        <v>12</v>
      </c>
      <c r="B223">
        <v>2021</v>
      </c>
      <c r="C223" t="s">
        <v>79</v>
      </c>
      <c r="D223">
        <v>9</v>
      </c>
      <c r="E223" t="s">
        <v>189</v>
      </c>
      <c r="F223" t="s">
        <v>118</v>
      </c>
      <c r="G223" t="s">
        <v>335</v>
      </c>
      <c r="H223" t="s">
        <v>507</v>
      </c>
      <c r="I223" t="s">
        <v>17</v>
      </c>
      <c r="J223">
        <v>0</v>
      </c>
      <c r="K223">
        <v>69979</v>
      </c>
      <c r="L223">
        <v>5274525</v>
      </c>
      <c r="M223" t="str">
        <f t="shared" si="6"/>
        <v>Other</v>
      </c>
      <c r="N223" t="str">
        <f t="shared" si="7"/>
        <v>December</v>
      </c>
    </row>
    <row r="224" spans="1:14" x14ac:dyDescent="0.3">
      <c r="A224">
        <v>10</v>
      </c>
      <c r="B224">
        <v>2023</v>
      </c>
      <c r="C224" t="s">
        <v>23</v>
      </c>
      <c r="D224">
        <v>24</v>
      </c>
      <c r="E224" t="s">
        <v>199</v>
      </c>
      <c r="F224" t="s">
        <v>167</v>
      </c>
      <c r="G224" t="s">
        <v>36</v>
      </c>
      <c r="H224" t="s">
        <v>37</v>
      </c>
      <c r="I224" t="s">
        <v>17</v>
      </c>
      <c r="J224">
        <v>0</v>
      </c>
      <c r="K224">
        <v>422460</v>
      </c>
      <c r="L224">
        <v>35163621</v>
      </c>
      <c r="M224" t="str">
        <f t="shared" si="6"/>
        <v>SEZ / Industrial Zone</v>
      </c>
      <c r="N224" t="str">
        <f t="shared" si="7"/>
        <v>October</v>
      </c>
    </row>
    <row r="225" spans="1:14" x14ac:dyDescent="0.3">
      <c r="A225">
        <v>10</v>
      </c>
      <c r="B225">
        <v>2022</v>
      </c>
      <c r="C225" t="s">
        <v>58</v>
      </c>
      <c r="D225">
        <v>27</v>
      </c>
      <c r="E225" t="s">
        <v>310</v>
      </c>
      <c r="F225" t="s">
        <v>350</v>
      </c>
      <c r="G225" t="s">
        <v>36</v>
      </c>
      <c r="H225" t="s">
        <v>37</v>
      </c>
      <c r="I225" t="s">
        <v>17</v>
      </c>
      <c r="J225">
        <v>0</v>
      </c>
      <c r="K225">
        <v>46</v>
      </c>
      <c r="L225">
        <v>3817</v>
      </c>
      <c r="M225" t="str">
        <f t="shared" si="6"/>
        <v>SEZ / Industrial Zone</v>
      </c>
      <c r="N225" t="str">
        <f t="shared" si="7"/>
        <v>October</v>
      </c>
    </row>
    <row r="226" spans="1:14" x14ac:dyDescent="0.3">
      <c r="A226">
        <v>3</v>
      </c>
      <c r="B226">
        <v>2024</v>
      </c>
      <c r="C226" t="s">
        <v>132</v>
      </c>
      <c r="D226">
        <v>19</v>
      </c>
      <c r="E226" t="s">
        <v>133</v>
      </c>
      <c r="F226" t="s">
        <v>118</v>
      </c>
      <c r="G226" t="s">
        <v>56</v>
      </c>
      <c r="H226" t="s">
        <v>57</v>
      </c>
      <c r="I226" t="s">
        <v>17</v>
      </c>
      <c r="J226">
        <v>0</v>
      </c>
      <c r="K226">
        <v>148647</v>
      </c>
      <c r="L226">
        <v>12337296</v>
      </c>
      <c r="M226" t="str">
        <f t="shared" si="6"/>
        <v>Air Port</v>
      </c>
      <c r="N226" t="str">
        <f t="shared" si="7"/>
        <v>March</v>
      </c>
    </row>
    <row r="227" spans="1:14" x14ac:dyDescent="0.3">
      <c r="A227">
        <v>6</v>
      </c>
      <c r="B227">
        <v>2024</v>
      </c>
      <c r="C227" t="s">
        <v>28</v>
      </c>
      <c r="D227">
        <v>29</v>
      </c>
      <c r="E227" t="s">
        <v>581</v>
      </c>
      <c r="F227" t="s">
        <v>90</v>
      </c>
      <c r="G227" t="s">
        <v>99</v>
      </c>
      <c r="H227" t="s">
        <v>549</v>
      </c>
      <c r="I227" t="s">
        <v>17</v>
      </c>
      <c r="J227">
        <v>0</v>
      </c>
      <c r="K227">
        <v>67</v>
      </c>
      <c r="L227">
        <v>5564</v>
      </c>
      <c r="M227" t="str">
        <f t="shared" si="6"/>
        <v>SEZ / Industrial Zone</v>
      </c>
      <c r="N227" t="str">
        <f t="shared" si="7"/>
        <v>June</v>
      </c>
    </row>
    <row r="228" spans="1:14" x14ac:dyDescent="0.3">
      <c r="A228">
        <v>11</v>
      </c>
      <c r="B228">
        <v>2021</v>
      </c>
      <c r="C228" t="s">
        <v>132</v>
      </c>
      <c r="D228">
        <v>19</v>
      </c>
      <c r="E228" t="s">
        <v>209</v>
      </c>
      <c r="F228" t="s">
        <v>44</v>
      </c>
      <c r="G228" t="s">
        <v>52</v>
      </c>
      <c r="H228" t="s">
        <v>53</v>
      </c>
      <c r="I228" t="s">
        <v>17</v>
      </c>
      <c r="J228">
        <v>0</v>
      </c>
      <c r="K228">
        <v>156763</v>
      </c>
      <c r="L228">
        <v>11678306</v>
      </c>
      <c r="M228" t="str">
        <f t="shared" si="6"/>
        <v>Sea Port</v>
      </c>
      <c r="N228" t="str">
        <f t="shared" si="7"/>
        <v>November</v>
      </c>
    </row>
    <row r="229" spans="1:14" x14ac:dyDescent="0.3">
      <c r="A229">
        <v>7</v>
      </c>
      <c r="B229">
        <v>2021</v>
      </c>
      <c r="C229" t="s">
        <v>47</v>
      </c>
      <c r="D229">
        <v>7</v>
      </c>
      <c r="E229" t="s">
        <v>48</v>
      </c>
      <c r="F229" t="s">
        <v>118</v>
      </c>
      <c r="G229" t="s">
        <v>154</v>
      </c>
      <c r="H229" t="s">
        <v>155</v>
      </c>
      <c r="I229" t="s">
        <v>17</v>
      </c>
      <c r="J229">
        <v>0</v>
      </c>
      <c r="K229">
        <v>7685</v>
      </c>
      <c r="L229">
        <v>572761</v>
      </c>
      <c r="M229" t="str">
        <f t="shared" si="6"/>
        <v>Air Port</v>
      </c>
      <c r="N229" t="str">
        <f t="shared" si="7"/>
        <v>July</v>
      </c>
    </row>
    <row r="230" spans="1:14" x14ac:dyDescent="0.3">
      <c r="A230">
        <v>12</v>
      </c>
      <c r="B230">
        <v>2018</v>
      </c>
      <c r="C230" t="s">
        <v>79</v>
      </c>
      <c r="D230">
        <v>9</v>
      </c>
      <c r="E230" t="s">
        <v>511</v>
      </c>
      <c r="F230" t="s">
        <v>90</v>
      </c>
      <c r="G230" t="s">
        <v>140</v>
      </c>
      <c r="H230" t="s">
        <v>554</v>
      </c>
      <c r="I230" t="s">
        <v>17</v>
      </c>
      <c r="J230">
        <v>0</v>
      </c>
      <c r="K230">
        <v>907</v>
      </c>
      <c r="L230">
        <v>64162</v>
      </c>
      <c r="M230" t="str">
        <f t="shared" si="6"/>
        <v>ICD / Dry Port</v>
      </c>
      <c r="N230" t="str">
        <f t="shared" si="7"/>
        <v>December</v>
      </c>
    </row>
    <row r="231" spans="1:14" x14ac:dyDescent="0.3">
      <c r="A231">
        <v>2</v>
      </c>
      <c r="B231">
        <v>2021</v>
      </c>
      <c r="C231" t="s">
        <v>58</v>
      </c>
      <c r="D231">
        <v>27</v>
      </c>
      <c r="E231" t="s">
        <v>59</v>
      </c>
      <c r="F231" t="s">
        <v>108</v>
      </c>
      <c r="G231" t="s">
        <v>82</v>
      </c>
      <c r="H231" t="s">
        <v>83</v>
      </c>
      <c r="I231" t="s">
        <v>17</v>
      </c>
      <c r="J231">
        <v>0</v>
      </c>
      <c r="K231">
        <v>2737</v>
      </c>
      <c r="L231">
        <v>199148</v>
      </c>
      <c r="M231" t="str">
        <f t="shared" si="6"/>
        <v>Sea Port</v>
      </c>
      <c r="N231" t="str">
        <f t="shared" si="7"/>
        <v>February</v>
      </c>
    </row>
    <row r="232" spans="1:14" x14ac:dyDescent="0.3">
      <c r="A232">
        <v>5</v>
      </c>
      <c r="B232">
        <v>2022</v>
      </c>
      <c r="C232" t="s">
        <v>132</v>
      </c>
      <c r="D232">
        <v>19</v>
      </c>
      <c r="E232" t="s">
        <v>209</v>
      </c>
      <c r="F232" t="s">
        <v>153</v>
      </c>
      <c r="G232" t="s">
        <v>335</v>
      </c>
      <c r="H232" t="s">
        <v>507</v>
      </c>
      <c r="I232" t="s">
        <v>17</v>
      </c>
      <c r="J232">
        <v>0</v>
      </c>
      <c r="K232">
        <v>597719</v>
      </c>
      <c r="L232">
        <v>46215229</v>
      </c>
      <c r="M232" t="str">
        <f t="shared" si="6"/>
        <v>Sea Port</v>
      </c>
      <c r="N232" t="str">
        <f t="shared" si="7"/>
        <v>May</v>
      </c>
    </row>
    <row r="233" spans="1:14" x14ac:dyDescent="0.3">
      <c r="A233">
        <v>7</v>
      </c>
      <c r="B233">
        <v>2024</v>
      </c>
      <c r="C233" t="s">
        <v>28</v>
      </c>
      <c r="D233">
        <v>29</v>
      </c>
      <c r="E233" t="s">
        <v>29</v>
      </c>
      <c r="F233" t="s">
        <v>118</v>
      </c>
      <c r="G233" t="s">
        <v>56</v>
      </c>
      <c r="H233" t="s">
        <v>57</v>
      </c>
      <c r="I233" t="s">
        <v>17</v>
      </c>
      <c r="J233">
        <v>0</v>
      </c>
      <c r="K233">
        <v>647901</v>
      </c>
      <c r="L233">
        <v>54161066</v>
      </c>
      <c r="M233" t="str">
        <f t="shared" si="6"/>
        <v>Sea Port</v>
      </c>
      <c r="N233" t="str">
        <f t="shared" si="7"/>
        <v>July</v>
      </c>
    </row>
    <row r="234" spans="1:14" x14ac:dyDescent="0.3">
      <c r="A234">
        <v>8</v>
      </c>
      <c r="B234">
        <v>2023</v>
      </c>
      <c r="C234" t="s">
        <v>28</v>
      </c>
      <c r="D234">
        <v>29</v>
      </c>
      <c r="E234" t="s">
        <v>514</v>
      </c>
      <c r="F234" t="s">
        <v>350</v>
      </c>
      <c r="G234" t="s">
        <v>15</v>
      </c>
      <c r="H234" t="s">
        <v>359</v>
      </c>
      <c r="I234" t="s">
        <v>17</v>
      </c>
      <c r="J234">
        <v>0</v>
      </c>
      <c r="K234">
        <v>90359</v>
      </c>
      <c r="L234">
        <v>7480421</v>
      </c>
      <c r="M234" t="str">
        <f t="shared" si="6"/>
        <v>SEZ / Industrial Zone</v>
      </c>
      <c r="N234" t="str">
        <f t="shared" si="7"/>
        <v>August</v>
      </c>
    </row>
    <row r="235" spans="1:14" x14ac:dyDescent="0.3">
      <c r="A235">
        <v>1</v>
      </c>
      <c r="B235">
        <v>2019</v>
      </c>
      <c r="C235" t="s">
        <v>47</v>
      </c>
      <c r="D235">
        <v>7</v>
      </c>
      <c r="E235" t="s">
        <v>51</v>
      </c>
      <c r="F235" t="s">
        <v>20</v>
      </c>
      <c r="G235" t="s">
        <v>347</v>
      </c>
      <c r="H235" t="s">
        <v>542</v>
      </c>
      <c r="I235" t="s">
        <v>17</v>
      </c>
      <c r="J235">
        <v>0</v>
      </c>
      <c r="K235">
        <v>95028</v>
      </c>
      <c r="L235">
        <v>6721595</v>
      </c>
      <c r="M235" t="str">
        <f t="shared" si="6"/>
        <v>ICD / Dry Port</v>
      </c>
      <c r="N235" t="str">
        <f t="shared" si="7"/>
        <v>January</v>
      </c>
    </row>
    <row r="236" spans="1:14" x14ac:dyDescent="0.3">
      <c r="A236">
        <v>9</v>
      </c>
      <c r="B236">
        <v>2018</v>
      </c>
      <c r="C236" t="s">
        <v>73</v>
      </c>
      <c r="D236">
        <v>3</v>
      </c>
      <c r="E236" t="s">
        <v>582</v>
      </c>
      <c r="F236" t="s">
        <v>583</v>
      </c>
      <c r="G236" t="s">
        <v>157</v>
      </c>
      <c r="H236" t="s">
        <v>158</v>
      </c>
      <c r="I236" t="s">
        <v>17</v>
      </c>
      <c r="J236">
        <v>0</v>
      </c>
      <c r="K236">
        <v>390</v>
      </c>
      <c r="L236">
        <v>28187</v>
      </c>
      <c r="M236" t="str">
        <f t="shared" si="6"/>
        <v>Land Port</v>
      </c>
      <c r="N236" t="str">
        <f t="shared" si="7"/>
        <v>September</v>
      </c>
    </row>
    <row r="237" spans="1:14" x14ac:dyDescent="0.3">
      <c r="A237">
        <v>7</v>
      </c>
      <c r="B237">
        <v>2020</v>
      </c>
      <c r="C237" t="s">
        <v>23</v>
      </c>
      <c r="D237">
        <v>24</v>
      </c>
      <c r="E237" t="s">
        <v>38</v>
      </c>
      <c r="F237" t="s">
        <v>317</v>
      </c>
      <c r="G237" t="s">
        <v>95</v>
      </c>
      <c r="H237" t="s">
        <v>96</v>
      </c>
      <c r="I237" t="s">
        <v>17</v>
      </c>
      <c r="J237">
        <v>0</v>
      </c>
      <c r="K237">
        <v>91359</v>
      </c>
      <c r="L237">
        <v>6851334</v>
      </c>
      <c r="M237" t="str">
        <f t="shared" si="6"/>
        <v>ICD / Dry Port</v>
      </c>
      <c r="N237" t="str">
        <f t="shared" si="7"/>
        <v>July</v>
      </c>
    </row>
    <row r="238" spans="1:14" x14ac:dyDescent="0.3">
      <c r="A238">
        <v>8</v>
      </c>
      <c r="B238">
        <v>2022</v>
      </c>
      <c r="C238" t="s">
        <v>137</v>
      </c>
      <c r="D238">
        <v>36</v>
      </c>
      <c r="E238" t="s">
        <v>523</v>
      </c>
      <c r="F238" t="s">
        <v>320</v>
      </c>
      <c r="G238" t="s">
        <v>36</v>
      </c>
      <c r="H238" t="s">
        <v>37</v>
      </c>
      <c r="I238" t="s">
        <v>17</v>
      </c>
      <c r="J238">
        <v>0</v>
      </c>
      <c r="K238">
        <v>25316</v>
      </c>
      <c r="L238">
        <v>2014052</v>
      </c>
      <c r="M238" t="str">
        <f t="shared" si="6"/>
        <v>SEZ / Industrial Zone</v>
      </c>
      <c r="N238" t="str">
        <f t="shared" si="7"/>
        <v>August</v>
      </c>
    </row>
    <row r="239" spans="1:14" x14ac:dyDescent="0.3">
      <c r="A239">
        <v>11</v>
      </c>
      <c r="B239">
        <v>2019</v>
      </c>
      <c r="C239" t="s">
        <v>28</v>
      </c>
      <c r="D239">
        <v>29</v>
      </c>
      <c r="E239" t="s">
        <v>29</v>
      </c>
      <c r="F239" t="s">
        <v>172</v>
      </c>
      <c r="G239" t="s">
        <v>86</v>
      </c>
      <c r="H239" t="s">
        <v>548</v>
      </c>
      <c r="I239" t="s">
        <v>17</v>
      </c>
      <c r="J239">
        <v>0</v>
      </c>
      <c r="K239">
        <v>30088</v>
      </c>
      <c r="L239">
        <v>2149855</v>
      </c>
      <c r="M239" t="str">
        <f t="shared" si="6"/>
        <v>Sea Port</v>
      </c>
      <c r="N239" t="str">
        <f t="shared" si="7"/>
        <v>November</v>
      </c>
    </row>
    <row r="240" spans="1:14" x14ac:dyDescent="0.3">
      <c r="A240">
        <v>12</v>
      </c>
      <c r="B240">
        <v>2022</v>
      </c>
      <c r="C240" t="s">
        <v>18</v>
      </c>
      <c r="D240">
        <v>6</v>
      </c>
      <c r="E240" t="s">
        <v>566</v>
      </c>
      <c r="F240" t="s">
        <v>90</v>
      </c>
      <c r="G240" t="s">
        <v>168</v>
      </c>
      <c r="H240" t="s">
        <v>169</v>
      </c>
      <c r="I240" t="s">
        <v>17</v>
      </c>
      <c r="J240">
        <v>0</v>
      </c>
      <c r="K240">
        <v>3572</v>
      </c>
      <c r="L240">
        <v>294585</v>
      </c>
      <c r="M240" t="str">
        <f t="shared" si="6"/>
        <v>ICD / Dry Port</v>
      </c>
      <c r="N240" t="str">
        <f t="shared" si="7"/>
        <v>December</v>
      </c>
    </row>
    <row r="241" spans="1:14" x14ac:dyDescent="0.3">
      <c r="A241">
        <v>5</v>
      </c>
      <c r="B241">
        <v>2022</v>
      </c>
      <c r="C241" t="s">
        <v>28</v>
      </c>
      <c r="D241">
        <v>29</v>
      </c>
      <c r="E241" t="s">
        <v>29</v>
      </c>
      <c r="F241" t="s">
        <v>251</v>
      </c>
      <c r="G241" t="s">
        <v>187</v>
      </c>
      <c r="H241" t="s">
        <v>188</v>
      </c>
      <c r="I241" t="s">
        <v>17</v>
      </c>
      <c r="J241">
        <v>0</v>
      </c>
      <c r="K241">
        <v>181914</v>
      </c>
      <c r="L241">
        <v>14065468</v>
      </c>
      <c r="M241" t="str">
        <f t="shared" si="6"/>
        <v>Sea Port</v>
      </c>
      <c r="N241" t="str">
        <f t="shared" si="7"/>
        <v>May</v>
      </c>
    </row>
    <row r="242" spans="1:14" x14ac:dyDescent="0.3">
      <c r="A242">
        <v>9</v>
      </c>
      <c r="B242">
        <v>2019</v>
      </c>
      <c r="C242" t="s">
        <v>58</v>
      </c>
      <c r="D242">
        <v>27</v>
      </c>
      <c r="E242" t="s">
        <v>59</v>
      </c>
      <c r="F242" t="s">
        <v>131</v>
      </c>
      <c r="G242" t="s">
        <v>52</v>
      </c>
      <c r="H242" t="s">
        <v>53</v>
      </c>
      <c r="I242" t="s">
        <v>17</v>
      </c>
      <c r="J242">
        <v>0</v>
      </c>
      <c r="K242">
        <v>11691076</v>
      </c>
      <c r="L242">
        <v>833967691</v>
      </c>
      <c r="M242" t="str">
        <f t="shared" si="6"/>
        <v>Sea Port</v>
      </c>
      <c r="N242" t="str">
        <f t="shared" si="7"/>
        <v>September</v>
      </c>
    </row>
    <row r="243" spans="1:14" x14ac:dyDescent="0.3">
      <c r="A243">
        <v>5</v>
      </c>
      <c r="B243">
        <v>2021</v>
      </c>
      <c r="C243" t="s">
        <v>33</v>
      </c>
      <c r="D243">
        <v>32</v>
      </c>
      <c r="E243" t="s">
        <v>316</v>
      </c>
      <c r="F243" t="s">
        <v>68</v>
      </c>
      <c r="G243" t="s">
        <v>36</v>
      </c>
      <c r="H243" t="s">
        <v>37</v>
      </c>
      <c r="I243" t="s">
        <v>17</v>
      </c>
      <c r="J243">
        <v>0</v>
      </c>
      <c r="K243">
        <v>1880</v>
      </c>
      <c r="L243">
        <v>137750</v>
      </c>
      <c r="M243" t="str">
        <f t="shared" si="6"/>
        <v>SEZ / Industrial Zone</v>
      </c>
      <c r="N243" t="str">
        <f t="shared" si="7"/>
        <v>May</v>
      </c>
    </row>
    <row r="244" spans="1:14" x14ac:dyDescent="0.3">
      <c r="A244">
        <v>1</v>
      </c>
      <c r="B244">
        <v>2022</v>
      </c>
      <c r="C244" t="s">
        <v>58</v>
      </c>
      <c r="D244">
        <v>27</v>
      </c>
      <c r="E244" t="s">
        <v>125</v>
      </c>
      <c r="F244" t="s">
        <v>194</v>
      </c>
      <c r="G244" t="s">
        <v>95</v>
      </c>
      <c r="H244" t="s">
        <v>96</v>
      </c>
      <c r="I244" t="s">
        <v>17</v>
      </c>
      <c r="J244">
        <v>0</v>
      </c>
      <c r="K244">
        <v>55447</v>
      </c>
      <c r="L244">
        <v>4127558</v>
      </c>
      <c r="M244" t="str">
        <f t="shared" si="6"/>
        <v>Air Port</v>
      </c>
      <c r="N244" t="str">
        <f t="shared" si="7"/>
        <v>January</v>
      </c>
    </row>
    <row r="245" spans="1:14" x14ac:dyDescent="0.3">
      <c r="A245">
        <v>2</v>
      </c>
      <c r="B245">
        <v>2018</v>
      </c>
      <c r="C245" t="s">
        <v>132</v>
      </c>
      <c r="D245">
        <v>19</v>
      </c>
      <c r="E245" t="s">
        <v>133</v>
      </c>
      <c r="F245" t="s">
        <v>108</v>
      </c>
      <c r="G245" t="s">
        <v>335</v>
      </c>
      <c r="H245" t="s">
        <v>507</v>
      </c>
      <c r="I245" t="s">
        <v>17</v>
      </c>
      <c r="J245">
        <v>0</v>
      </c>
      <c r="K245">
        <v>11840</v>
      </c>
      <c r="L245">
        <v>762200</v>
      </c>
      <c r="M245" t="str">
        <f t="shared" si="6"/>
        <v>Air Port</v>
      </c>
      <c r="N245" t="str">
        <f t="shared" si="7"/>
        <v>February</v>
      </c>
    </row>
    <row r="246" spans="1:14" x14ac:dyDescent="0.3">
      <c r="A246">
        <v>11</v>
      </c>
      <c r="B246">
        <v>2018</v>
      </c>
      <c r="C246" t="s">
        <v>28</v>
      </c>
      <c r="D246">
        <v>29</v>
      </c>
      <c r="E246" t="s">
        <v>236</v>
      </c>
      <c r="F246" t="s">
        <v>515</v>
      </c>
      <c r="G246" t="s">
        <v>135</v>
      </c>
      <c r="H246" t="s">
        <v>136</v>
      </c>
      <c r="I246" t="s">
        <v>17</v>
      </c>
      <c r="J246">
        <v>0</v>
      </c>
      <c r="K246">
        <v>15834</v>
      </c>
      <c r="L246">
        <v>1137704</v>
      </c>
      <c r="M246" t="str">
        <f t="shared" si="6"/>
        <v>ICD / Dry Port</v>
      </c>
      <c r="N246" t="str">
        <f t="shared" si="7"/>
        <v>November</v>
      </c>
    </row>
    <row r="247" spans="1:14" x14ac:dyDescent="0.3">
      <c r="A247">
        <v>12</v>
      </c>
      <c r="B247">
        <v>2022</v>
      </c>
      <c r="C247" t="s">
        <v>47</v>
      </c>
      <c r="D247">
        <v>7</v>
      </c>
      <c r="E247" t="s">
        <v>509</v>
      </c>
      <c r="F247" t="s">
        <v>14</v>
      </c>
      <c r="G247" t="s">
        <v>61</v>
      </c>
      <c r="H247" t="s">
        <v>62</v>
      </c>
      <c r="I247" t="s">
        <v>17</v>
      </c>
      <c r="J247">
        <v>0</v>
      </c>
      <c r="K247">
        <v>13448</v>
      </c>
      <c r="L247">
        <v>1108989</v>
      </c>
      <c r="M247" t="str">
        <f t="shared" si="6"/>
        <v>CFS</v>
      </c>
      <c r="N247" t="str">
        <f t="shared" si="7"/>
        <v>December</v>
      </c>
    </row>
    <row r="248" spans="1:14" x14ac:dyDescent="0.3">
      <c r="A248">
        <v>7</v>
      </c>
      <c r="B248">
        <v>2024</v>
      </c>
      <c r="C248" t="s">
        <v>132</v>
      </c>
      <c r="D248">
        <v>19</v>
      </c>
      <c r="E248" t="s">
        <v>133</v>
      </c>
      <c r="F248" t="s">
        <v>153</v>
      </c>
      <c r="G248" t="s">
        <v>154</v>
      </c>
      <c r="H248" t="s">
        <v>155</v>
      </c>
      <c r="I248" t="s">
        <v>17</v>
      </c>
      <c r="J248">
        <v>0</v>
      </c>
      <c r="K248">
        <v>9302</v>
      </c>
      <c r="L248">
        <v>777593</v>
      </c>
      <c r="M248" t="str">
        <f t="shared" si="6"/>
        <v>Air Port</v>
      </c>
      <c r="N248" t="str">
        <f t="shared" si="7"/>
        <v>July</v>
      </c>
    </row>
    <row r="249" spans="1:14" x14ac:dyDescent="0.3">
      <c r="A249">
        <v>5</v>
      </c>
      <c r="B249">
        <v>2022</v>
      </c>
      <c r="C249" t="s">
        <v>58</v>
      </c>
      <c r="D249">
        <v>27</v>
      </c>
      <c r="E249" t="s">
        <v>59</v>
      </c>
      <c r="F249" t="s">
        <v>172</v>
      </c>
      <c r="G249" t="s">
        <v>282</v>
      </c>
      <c r="H249" t="s">
        <v>283</v>
      </c>
      <c r="I249" t="s">
        <v>17</v>
      </c>
      <c r="J249">
        <v>0</v>
      </c>
      <c r="K249">
        <v>652323</v>
      </c>
      <c r="L249">
        <v>50437134</v>
      </c>
      <c r="M249" t="str">
        <f t="shared" si="6"/>
        <v>Sea Port</v>
      </c>
      <c r="N249" t="str">
        <f t="shared" si="7"/>
        <v>May</v>
      </c>
    </row>
    <row r="250" spans="1:14" x14ac:dyDescent="0.3">
      <c r="A250">
        <v>12</v>
      </c>
      <c r="B250">
        <v>2020</v>
      </c>
      <c r="C250" t="s">
        <v>28</v>
      </c>
      <c r="D250">
        <v>29</v>
      </c>
      <c r="E250" t="s">
        <v>236</v>
      </c>
      <c r="F250" t="s">
        <v>303</v>
      </c>
      <c r="G250" t="s">
        <v>21</v>
      </c>
      <c r="H250" t="s">
        <v>22</v>
      </c>
      <c r="I250" t="s">
        <v>17</v>
      </c>
      <c r="J250">
        <v>0</v>
      </c>
      <c r="K250">
        <v>30864</v>
      </c>
      <c r="L250">
        <v>2271368</v>
      </c>
      <c r="M250" t="str">
        <f t="shared" si="6"/>
        <v>ICD / Dry Port</v>
      </c>
      <c r="N250" t="str">
        <f t="shared" si="7"/>
        <v>December</v>
      </c>
    </row>
    <row r="251" spans="1:14" x14ac:dyDescent="0.3">
      <c r="A251">
        <v>4</v>
      </c>
      <c r="B251">
        <v>2018</v>
      </c>
      <c r="C251" t="s">
        <v>28</v>
      </c>
      <c r="D251">
        <v>29</v>
      </c>
      <c r="E251" t="s">
        <v>584</v>
      </c>
      <c r="F251" t="s">
        <v>35</v>
      </c>
      <c r="G251" t="s">
        <v>278</v>
      </c>
      <c r="H251" t="s">
        <v>279</v>
      </c>
      <c r="I251" t="s">
        <v>17</v>
      </c>
      <c r="J251">
        <v>0</v>
      </c>
      <c r="K251">
        <v>770</v>
      </c>
      <c r="L251">
        <v>50534</v>
      </c>
      <c r="M251" t="str">
        <f t="shared" si="6"/>
        <v>SEZ / Industrial Zone</v>
      </c>
      <c r="N251" t="str">
        <f t="shared" si="7"/>
        <v>April</v>
      </c>
    </row>
    <row r="252" spans="1:14" x14ac:dyDescent="0.3">
      <c r="A252">
        <v>6</v>
      </c>
      <c r="B252">
        <v>2023</v>
      </c>
      <c r="C252" t="s">
        <v>23</v>
      </c>
      <c r="D252">
        <v>24</v>
      </c>
      <c r="E252" t="s">
        <v>24</v>
      </c>
      <c r="F252" t="s">
        <v>231</v>
      </c>
      <c r="G252" t="s">
        <v>543</v>
      </c>
      <c r="H252" t="s">
        <v>544</v>
      </c>
      <c r="I252" t="s">
        <v>17</v>
      </c>
      <c r="J252">
        <v>0</v>
      </c>
      <c r="K252">
        <v>27908</v>
      </c>
      <c r="L252">
        <v>2294954</v>
      </c>
      <c r="M252" t="str">
        <f t="shared" si="6"/>
        <v>Other</v>
      </c>
      <c r="N252" t="str">
        <f t="shared" si="7"/>
        <v>June</v>
      </c>
    </row>
    <row r="253" spans="1:14" x14ac:dyDescent="0.3">
      <c r="A253">
        <v>8</v>
      </c>
      <c r="B253">
        <v>2023</v>
      </c>
      <c r="C253" t="s">
        <v>137</v>
      </c>
      <c r="D253">
        <v>36</v>
      </c>
      <c r="E253" t="s">
        <v>148</v>
      </c>
      <c r="F253" t="s">
        <v>190</v>
      </c>
      <c r="G253" t="s">
        <v>318</v>
      </c>
      <c r="H253" t="s">
        <v>319</v>
      </c>
      <c r="I253" t="s">
        <v>17</v>
      </c>
      <c r="J253">
        <v>0</v>
      </c>
      <c r="K253">
        <v>2927</v>
      </c>
      <c r="L253">
        <v>242343</v>
      </c>
      <c r="M253" t="str">
        <f t="shared" si="6"/>
        <v>Sea Port</v>
      </c>
      <c r="N253" t="str">
        <f t="shared" si="7"/>
        <v>August</v>
      </c>
    </row>
    <row r="254" spans="1:14" x14ac:dyDescent="0.3">
      <c r="A254">
        <v>12</v>
      </c>
      <c r="B254">
        <v>2022</v>
      </c>
      <c r="C254" t="s">
        <v>132</v>
      </c>
      <c r="D254">
        <v>19</v>
      </c>
      <c r="E254" t="s">
        <v>133</v>
      </c>
      <c r="F254" t="s">
        <v>190</v>
      </c>
      <c r="G254" t="s">
        <v>278</v>
      </c>
      <c r="H254" t="s">
        <v>279</v>
      </c>
      <c r="I254" t="s">
        <v>17</v>
      </c>
      <c r="J254">
        <v>0</v>
      </c>
      <c r="K254">
        <v>7020</v>
      </c>
      <c r="L254">
        <v>578927</v>
      </c>
      <c r="M254" t="str">
        <f t="shared" si="6"/>
        <v>Air Port</v>
      </c>
      <c r="N254" t="str">
        <f t="shared" si="7"/>
        <v>December</v>
      </c>
    </row>
    <row r="255" spans="1:14" x14ac:dyDescent="0.3">
      <c r="A255">
        <v>6</v>
      </c>
      <c r="B255">
        <v>2024</v>
      </c>
      <c r="C255" t="s">
        <v>12</v>
      </c>
      <c r="D255">
        <v>8</v>
      </c>
      <c r="E255" t="s">
        <v>165</v>
      </c>
      <c r="F255" t="s">
        <v>20</v>
      </c>
      <c r="G255" t="s">
        <v>282</v>
      </c>
      <c r="H255" t="s">
        <v>283</v>
      </c>
      <c r="I255" t="s">
        <v>17</v>
      </c>
      <c r="J255">
        <v>0</v>
      </c>
      <c r="K255">
        <v>112083</v>
      </c>
      <c r="L255">
        <v>9355709</v>
      </c>
      <c r="M255" t="str">
        <f t="shared" si="6"/>
        <v>ICD / Dry Port</v>
      </c>
      <c r="N255" t="str">
        <f t="shared" si="7"/>
        <v>June</v>
      </c>
    </row>
    <row r="256" spans="1:14" x14ac:dyDescent="0.3">
      <c r="A256">
        <v>2</v>
      </c>
      <c r="B256">
        <v>2020</v>
      </c>
      <c r="C256" t="s">
        <v>58</v>
      </c>
      <c r="D256">
        <v>27</v>
      </c>
      <c r="E256" t="s">
        <v>59</v>
      </c>
      <c r="F256" t="s">
        <v>35</v>
      </c>
      <c r="G256" t="s">
        <v>150</v>
      </c>
      <c r="H256" t="s">
        <v>151</v>
      </c>
      <c r="I256" t="s">
        <v>17</v>
      </c>
      <c r="J256">
        <v>0</v>
      </c>
      <c r="K256">
        <v>2862450</v>
      </c>
      <c r="L256">
        <v>204632226</v>
      </c>
      <c r="M256" t="str">
        <f t="shared" si="6"/>
        <v>Sea Port</v>
      </c>
      <c r="N256" t="str">
        <f t="shared" si="7"/>
        <v>February</v>
      </c>
    </row>
    <row r="257" spans="1:14" x14ac:dyDescent="0.3">
      <c r="A257">
        <v>6</v>
      </c>
      <c r="B257">
        <v>2018</v>
      </c>
      <c r="C257" t="s">
        <v>132</v>
      </c>
      <c r="D257">
        <v>19</v>
      </c>
      <c r="E257" t="s">
        <v>133</v>
      </c>
      <c r="F257" t="s">
        <v>30</v>
      </c>
      <c r="G257" t="s">
        <v>52</v>
      </c>
      <c r="H257" t="s">
        <v>53</v>
      </c>
      <c r="I257" t="s">
        <v>17</v>
      </c>
      <c r="J257">
        <v>0</v>
      </c>
      <c r="K257">
        <v>1682</v>
      </c>
      <c r="L257">
        <v>114016</v>
      </c>
      <c r="M257" t="str">
        <f t="shared" si="6"/>
        <v>Air Port</v>
      </c>
      <c r="N257" t="str">
        <f t="shared" si="7"/>
        <v>June</v>
      </c>
    </row>
    <row r="258" spans="1:14" x14ac:dyDescent="0.3">
      <c r="A258">
        <v>2</v>
      </c>
      <c r="B258">
        <v>2021</v>
      </c>
      <c r="C258" t="s">
        <v>33</v>
      </c>
      <c r="D258">
        <v>32</v>
      </c>
      <c r="E258" t="s">
        <v>214</v>
      </c>
      <c r="F258" t="s">
        <v>194</v>
      </c>
      <c r="G258" t="s">
        <v>45</v>
      </c>
      <c r="H258" t="s">
        <v>46</v>
      </c>
      <c r="I258" t="s">
        <v>17</v>
      </c>
      <c r="J258">
        <v>0</v>
      </c>
      <c r="K258">
        <v>67045</v>
      </c>
      <c r="L258">
        <v>4877961</v>
      </c>
      <c r="M258" t="str">
        <f t="shared" ref="M258:M321" si="8">IF(OR(ISNUMBER(SEARCH("ICD",E258)),ISNUMBER(SEARCH("Dry Port",E258))),"ICD / Dry Port", IF(OR(ISNUMBER(SEARCH("Sea",E258)),ISNUMBER(SEARCH("Port",E258))),"Sea Port", IF(OR(ISNUMBER(SEARCH("Air",E258)),ISNUMBER(SEARCH("Airport",E258))),"Air Port", IF(ISNUMBER(SEARCH("CFS",E258)),"CFS", IF(OR(ISNUMBER(SEARCH("SEZ",E258)),ISNUMBER(SEARCH("EPZ",E258)),ISNUMBER(SEARCH("FTWZ",E258)),ISNUMBER(SEARCH("City",E258)),ISNUMBER(SEARCH("Park",E258))),"SEZ / Industrial Zone", IF(OR(ISNUMBER(SEARCH("Land",E258)),ISNUMBER(SEARCH("LCS",E258)),ISNUMBER(SEARCH("Rly",E258))),"Land Port", "Other"))))))</f>
        <v>Sea Port</v>
      </c>
      <c r="N258" t="str">
        <f t="shared" si="7"/>
        <v>February</v>
      </c>
    </row>
    <row r="259" spans="1:14" x14ac:dyDescent="0.3">
      <c r="A259">
        <v>1</v>
      </c>
      <c r="B259">
        <v>2019</v>
      </c>
      <c r="C259" t="s">
        <v>47</v>
      </c>
      <c r="D259">
        <v>7</v>
      </c>
      <c r="E259" t="s">
        <v>48</v>
      </c>
      <c r="F259" t="s">
        <v>551</v>
      </c>
      <c r="G259" t="s">
        <v>86</v>
      </c>
      <c r="H259" t="s">
        <v>548</v>
      </c>
      <c r="I259" t="s">
        <v>17</v>
      </c>
      <c r="J259">
        <v>0</v>
      </c>
      <c r="K259">
        <v>19031</v>
      </c>
      <c r="L259">
        <v>1346101</v>
      </c>
      <c r="M259" t="str">
        <f t="shared" si="8"/>
        <v>Air Port</v>
      </c>
      <c r="N259" t="str">
        <f t="shared" ref="N259:N322" si="9">TEXT(DATE(2024, A259, 1), "mmmm")</f>
        <v>January</v>
      </c>
    </row>
    <row r="260" spans="1:14" x14ac:dyDescent="0.3">
      <c r="A260">
        <v>7</v>
      </c>
      <c r="B260">
        <v>2024</v>
      </c>
      <c r="C260" t="s">
        <v>58</v>
      </c>
      <c r="D260">
        <v>27</v>
      </c>
      <c r="E260" t="s">
        <v>125</v>
      </c>
      <c r="F260" t="s">
        <v>25</v>
      </c>
      <c r="G260" t="s">
        <v>52</v>
      </c>
      <c r="H260" t="s">
        <v>53</v>
      </c>
      <c r="I260" t="s">
        <v>17</v>
      </c>
      <c r="J260">
        <v>0</v>
      </c>
      <c r="K260">
        <v>12355</v>
      </c>
      <c r="L260">
        <v>1032795</v>
      </c>
      <c r="M260" t="str">
        <f t="shared" si="8"/>
        <v>Air Port</v>
      </c>
      <c r="N260" t="str">
        <f t="shared" si="9"/>
        <v>July</v>
      </c>
    </row>
    <row r="261" spans="1:14" x14ac:dyDescent="0.3">
      <c r="A261">
        <v>6</v>
      </c>
      <c r="B261">
        <v>2022</v>
      </c>
      <c r="C261" t="s">
        <v>275</v>
      </c>
      <c r="D261">
        <v>28</v>
      </c>
      <c r="E261" t="s">
        <v>516</v>
      </c>
      <c r="F261" t="s">
        <v>263</v>
      </c>
      <c r="G261" t="s">
        <v>52</v>
      </c>
      <c r="H261" t="s">
        <v>53</v>
      </c>
      <c r="I261" t="s">
        <v>17</v>
      </c>
      <c r="J261">
        <v>0</v>
      </c>
      <c r="K261">
        <v>18</v>
      </c>
      <c r="L261">
        <v>1424</v>
      </c>
      <c r="M261" t="str">
        <f t="shared" si="8"/>
        <v>SEZ / Industrial Zone</v>
      </c>
      <c r="N261" t="str">
        <f t="shared" si="9"/>
        <v>June</v>
      </c>
    </row>
    <row r="262" spans="1:14" x14ac:dyDescent="0.3">
      <c r="A262">
        <v>12</v>
      </c>
      <c r="B262">
        <v>2023</v>
      </c>
      <c r="C262" t="s">
        <v>33</v>
      </c>
      <c r="D262">
        <v>32</v>
      </c>
      <c r="E262" t="s">
        <v>561</v>
      </c>
      <c r="F262" t="s">
        <v>251</v>
      </c>
      <c r="G262" t="s">
        <v>195</v>
      </c>
      <c r="H262" t="s">
        <v>196</v>
      </c>
      <c r="I262" t="s">
        <v>17</v>
      </c>
      <c r="J262">
        <v>0</v>
      </c>
      <c r="K262">
        <v>3920</v>
      </c>
      <c r="L262">
        <v>326424</v>
      </c>
      <c r="M262" t="str">
        <f t="shared" si="8"/>
        <v>Sea Port</v>
      </c>
      <c r="N262" t="str">
        <f t="shared" si="9"/>
        <v>December</v>
      </c>
    </row>
    <row r="263" spans="1:14" x14ac:dyDescent="0.3">
      <c r="A263">
        <v>1</v>
      </c>
      <c r="B263">
        <v>2021</v>
      </c>
      <c r="C263" t="s">
        <v>47</v>
      </c>
      <c r="D263">
        <v>7</v>
      </c>
      <c r="E263" t="s">
        <v>509</v>
      </c>
      <c r="F263" t="s">
        <v>153</v>
      </c>
      <c r="G263" t="s">
        <v>157</v>
      </c>
      <c r="H263" t="s">
        <v>158</v>
      </c>
      <c r="I263" t="s">
        <v>17</v>
      </c>
      <c r="J263">
        <v>0</v>
      </c>
      <c r="K263">
        <v>486906</v>
      </c>
      <c r="L263">
        <v>35597369</v>
      </c>
      <c r="M263" t="str">
        <f t="shared" si="8"/>
        <v>CFS</v>
      </c>
      <c r="N263" t="str">
        <f t="shared" si="9"/>
        <v>January</v>
      </c>
    </row>
    <row r="264" spans="1:14" x14ac:dyDescent="0.3">
      <c r="A264">
        <v>3</v>
      </c>
      <c r="B264">
        <v>2024</v>
      </c>
      <c r="C264" t="s">
        <v>47</v>
      </c>
      <c r="D264">
        <v>7</v>
      </c>
      <c r="E264" t="s">
        <v>509</v>
      </c>
      <c r="F264" t="s">
        <v>90</v>
      </c>
      <c r="G264" t="s">
        <v>227</v>
      </c>
      <c r="H264" t="s">
        <v>228</v>
      </c>
      <c r="I264" t="s">
        <v>17</v>
      </c>
      <c r="J264">
        <v>0</v>
      </c>
      <c r="K264">
        <v>680379</v>
      </c>
      <c r="L264">
        <v>56469838</v>
      </c>
      <c r="M264" t="str">
        <f t="shared" si="8"/>
        <v>CFS</v>
      </c>
      <c r="N264" t="str">
        <f t="shared" si="9"/>
        <v>March</v>
      </c>
    </row>
    <row r="265" spans="1:14" x14ac:dyDescent="0.3">
      <c r="A265">
        <v>3</v>
      </c>
      <c r="B265">
        <v>2023</v>
      </c>
      <c r="C265" t="s">
        <v>73</v>
      </c>
      <c r="D265">
        <v>3</v>
      </c>
      <c r="E265" t="s">
        <v>74</v>
      </c>
      <c r="F265" t="s">
        <v>515</v>
      </c>
      <c r="G265" t="s">
        <v>82</v>
      </c>
      <c r="H265" t="s">
        <v>83</v>
      </c>
      <c r="I265" t="s">
        <v>17</v>
      </c>
      <c r="J265">
        <v>0</v>
      </c>
      <c r="K265">
        <v>60939</v>
      </c>
      <c r="L265">
        <v>5014561</v>
      </c>
      <c r="M265" t="str">
        <f t="shared" si="8"/>
        <v>ICD / Dry Port</v>
      </c>
      <c r="N265" t="str">
        <f t="shared" si="9"/>
        <v>March</v>
      </c>
    </row>
    <row r="266" spans="1:14" x14ac:dyDescent="0.3">
      <c r="A266">
        <v>11</v>
      </c>
      <c r="B266">
        <v>2020</v>
      </c>
      <c r="C266" t="s">
        <v>28</v>
      </c>
      <c r="D266">
        <v>29</v>
      </c>
      <c r="E266" t="s">
        <v>236</v>
      </c>
      <c r="F266" t="s">
        <v>294</v>
      </c>
      <c r="G266" t="s">
        <v>157</v>
      </c>
      <c r="H266" t="s">
        <v>158</v>
      </c>
      <c r="I266" t="s">
        <v>17</v>
      </c>
      <c r="J266">
        <v>0</v>
      </c>
      <c r="K266">
        <v>13430</v>
      </c>
      <c r="L266">
        <v>996784</v>
      </c>
      <c r="M266" t="str">
        <f t="shared" si="8"/>
        <v>ICD / Dry Port</v>
      </c>
      <c r="N266" t="str">
        <f t="shared" si="9"/>
        <v>November</v>
      </c>
    </row>
    <row r="267" spans="1:14" x14ac:dyDescent="0.3">
      <c r="A267">
        <v>11</v>
      </c>
      <c r="B267">
        <v>2018</v>
      </c>
      <c r="C267" t="s">
        <v>12</v>
      </c>
      <c r="D267">
        <v>8</v>
      </c>
      <c r="E267" t="s">
        <v>165</v>
      </c>
      <c r="F267" t="s">
        <v>217</v>
      </c>
      <c r="G267" t="s">
        <v>146</v>
      </c>
      <c r="H267" t="s">
        <v>147</v>
      </c>
      <c r="I267" t="s">
        <v>17</v>
      </c>
      <c r="J267">
        <v>0</v>
      </c>
      <c r="K267">
        <v>60582</v>
      </c>
      <c r="L267">
        <v>4353077</v>
      </c>
      <c r="M267" t="str">
        <f t="shared" si="8"/>
        <v>ICD / Dry Port</v>
      </c>
      <c r="N267" t="str">
        <f t="shared" si="9"/>
        <v>November</v>
      </c>
    </row>
    <row r="268" spans="1:14" x14ac:dyDescent="0.3">
      <c r="A268">
        <v>7</v>
      </c>
      <c r="B268">
        <v>2024</v>
      </c>
      <c r="C268" t="s">
        <v>79</v>
      </c>
      <c r="D268">
        <v>9</v>
      </c>
      <c r="E268" t="s">
        <v>585</v>
      </c>
      <c r="F268" t="s">
        <v>90</v>
      </c>
      <c r="G268" t="s">
        <v>187</v>
      </c>
      <c r="H268" t="s">
        <v>188</v>
      </c>
      <c r="I268" t="s">
        <v>17</v>
      </c>
      <c r="J268">
        <v>0</v>
      </c>
      <c r="K268">
        <v>29610</v>
      </c>
      <c r="L268">
        <v>2475261</v>
      </c>
      <c r="M268" t="str">
        <f t="shared" si="8"/>
        <v>ICD / Dry Port</v>
      </c>
      <c r="N268" t="str">
        <f t="shared" si="9"/>
        <v>July</v>
      </c>
    </row>
    <row r="269" spans="1:14" x14ac:dyDescent="0.3">
      <c r="A269">
        <v>9</v>
      </c>
      <c r="B269">
        <v>2022</v>
      </c>
      <c r="C269" t="s">
        <v>58</v>
      </c>
      <c r="D269">
        <v>27</v>
      </c>
      <c r="E269" t="s">
        <v>586</v>
      </c>
      <c r="F269" t="s">
        <v>105</v>
      </c>
      <c r="G269" t="s">
        <v>244</v>
      </c>
      <c r="H269" t="s">
        <v>245</v>
      </c>
      <c r="I269" t="s">
        <v>17</v>
      </c>
      <c r="J269">
        <v>0</v>
      </c>
      <c r="K269">
        <v>44639</v>
      </c>
      <c r="L269">
        <v>3581424</v>
      </c>
      <c r="M269" t="str">
        <f t="shared" si="8"/>
        <v>CFS</v>
      </c>
      <c r="N269" t="str">
        <f t="shared" si="9"/>
        <v>September</v>
      </c>
    </row>
    <row r="270" spans="1:14" x14ac:dyDescent="0.3">
      <c r="A270">
        <v>9</v>
      </c>
      <c r="B270">
        <v>2022</v>
      </c>
      <c r="C270" t="s">
        <v>58</v>
      </c>
      <c r="D270">
        <v>27</v>
      </c>
      <c r="E270" t="s">
        <v>59</v>
      </c>
      <c r="F270" t="s">
        <v>142</v>
      </c>
      <c r="G270" t="s">
        <v>543</v>
      </c>
      <c r="H270" t="s">
        <v>544</v>
      </c>
      <c r="I270" t="s">
        <v>17</v>
      </c>
      <c r="J270">
        <v>0</v>
      </c>
      <c r="K270">
        <v>131796</v>
      </c>
      <c r="L270">
        <v>10574165</v>
      </c>
      <c r="M270" t="str">
        <f t="shared" si="8"/>
        <v>Sea Port</v>
      </c>
      <c r="N270" t="str">
        <f t="shared" si="9"/>
        <v>September</v>
      </c>
    </row>
    <row r="271" spans="1:14" x14ac:dyDescent="0.3">
      <c r="A271">
        <v>8</v>
      </c>
      <c r="B271">
        <v>2021</v>
      </c>
      <c r="C271" t="s">
        <v>28</v>
      </c>
      <c r="D271">
        <v>29</v>
      </c>
      <c r="E271" t="s">
        <v>236</v>
      </c>
      <c r="F271" t="s">
        <v>105</v>
      </c>
      <c r="G271" t="s">
        <v>157</v>
      </c>
      <c r="H271" t="s">
        <v>158</v>
      </c>
      <c r="I271" t="s">
        <v>17</v>
      </c>
      <c r="J271">
        <v>0</v>
      </c>
      <c r="K271">
        <v>1878</v>
      </c>
      <c r="L271">
        <v>139339</v>
      </c>
      <c r="M271" t="str">
        <f t="shared" si="8"/>
        <v>ICD / Dry Port</v>
      </c>
      <c r="N271" t="str">
        <f t="shared" si="9"/>
        <v>August</v>
      </c>
    </row>
    <row r="272" spans="1:14" x14ac:dyDescent="0.3">
      <c r="A272">
        <v>8</v>
      </c>
      <c r="B272">
        <v>2022</v>
      </c>
      <c r="C272" t="s">
        <v>58</v>
      </c>
      <c r="D272">
        <v>27</v>
      </c>
      <c r="E272" t="s">
        <v>59</v>
      </c>
      <c r="F272" t="s">
        <v>515</v>
      </c>
      <c r="G272" t="s">
        <v>168</v>
      </c>
      <c r="H272" t="s">
        <v>169</v>
      </c>
      <c r="I272" t="s">
        <v>17</v>
      </c>
      <c r="J272">
        <v>0</v>
      </c>
      <c r="K272">
        <v>283705</v>
      </c>
      <c r="L272">
        <v>22570166</v>
      </c>
      <c r="M272" t="str">
        <f t="shared" si="8"/>
        <v>Sea Port</v>
      </c>
      <c r="N272" t="str">
        <f t="shared" si="9"/>
        <v>August</v>
      </c>
    </row>
    <row r="273" spans="1:14" x14ac:dyDescent="0.3">
      <c r="A273">
        <v>6</v>
      </c>
      <c r="B273">
        <v>2020</v>
      </c>
      <c r="C273" t="s">
        <v>58</v>
      </c>
      <c r="D273">
        <v>27</v>
      </c>
      <c r="E273" t="s">
        <v>125</v>
      </c>
      <c r="F273" t="s">
        <v>294</v>
      </c>
      <c r="G273" t="s">
        <v>127</v>
      </c>
      <c r="H273" t="s">
        <v>128</v>
      </c>
      <c r="I273" t="s">
        <v>17</v>
      </c>
      <c r="J273">
        <v>0</v>
      </c>
      <c r="K273">
        <v>96195</v>
      </c>
      <c r="L273">
        <v>7284566</v>
      </c>
      <c r="M273" t="str">
        <f t="shared" si="8"/>
        <v>Air Port</v>
      </c>
      <c r="N273" t="str">
        <f t="shared" si="9"/>
        <v>June</v>
      </c>
    </row>
    <row r="274" spans="1:14" x14ac:dyDescent="0.3">
      <c r="A274">
        <v>10</v>
      </c>
      <c r="B274">
        <v>2019</v>
      </c>
      <c r="C274" t="s">
        <v>33</v>
      </c>
      <c r="D274">
        <v>32</v>
      </c>
      <c r="E274" t="s">
        <v>214</v>
      </c>
      <c r="F274" t="s">
        <v>90</v>
      </c>
      <c r="G274" t="s">
        <v>77</v>
      </c>
      <c r="H274" t="s">
        <v>78</v>
      </c>
      <c r="I274" t="s">
        <v>17</v>
      </c>
      <c r="J274">
        <v>0</v>
      </c>
      <c r="K274">
        <v>340015</v>
      </c>
      <c r="L274">
        <v>24154442</v>
      </c>
      <c r="M274" t="str">
        <f t="shared" si="8"/>
        <v>Sea Port</v>
      </c>
      <c r="N274" t="str">
        <f t="shared" si="9"/>
        <v>October</v>
      </c>
    </row>
    <row r="275" spans="1:14" x14ac:dyDescent="0.3">
      <c r="A275">
        <v>8</v>
      </c>
      <c r="B275">
        <v>2018</v>
      </c>
      <c r="C275" t="s">
        <v>137</v>
      </c>
      <c r="D275">
        <v>36</v>
      </c>
      <c r="E275" t="s">
        <v>587</v>
      </c>
      <c r="F275" t="s">
        <v>108</v>
      </c>
      <c r="G275" t="s">
        <v>86</v>
      </c>
      <c r="H275" t="s">
        <v>548</v>
      </c>
      <c r="I275" t="s">
        <v>17</v>
      </c>
      <c r="J275">
        <v>0</v>
      </c>
      <c r="K275">
        <v>26231</v>
      </c>
      <c r="L275">
        <v>1824240</v>
      </c>
      <c r="M275" t="str">
        <f t="shared" si="8"/>
        <v>Other</v>
      </c>
      <c r="N275" t="str">
        <f t="shared" si="9"/>
        <v>August</v>
      </c>
    </row>
    <row r="276" spans="1:14" x14ac:dyDescent="0.3">
      <c r="A276">
        <v>11</v>
      </c>
      <c r="B276">
        <v>2022</v>
      </c>
      <c r="C276" t="s">
        <v>18</v>
      </c>
      <c r="D276">
        <v>6</v>
      </c>
      <c r="E276" t="s">
        <v>233</v>
      </c>
      <c r="F276" t="s">
        <v>90</v>
      </c>
      <c r="G276" t="s">
        <v>239</v>
      </c>
      <c r="H276" t="s">
        <v>240</v>
      </c>
      <c r="I276" t="s">
        <v>17</v>
      </c>
      <c r="J276">
        <v>0</v>
      </c>
      <c r="K276">
        <v>7233</v>
      </c>
      <c r="L276">
        <v>591747</v>
      </c>
      <c r="M276" t="str">
        <f t="shared" si="8"/>
        <v>ICD / Dry Port</v>
      </c>
      <c r="N276" t="str">
        <f t="shared" si="9"/>
        <v>November</v>
      </c>
    </row>
    <row r="277" spans="1:14" x14ac:dyDescent="0.3">
      <c r="A277">
        <v>4</v>
      </c>
      <c r="B277">
        <v>2022</v>
      </c>
      <c r="C277" t="s">
        <v>47</v>
      </c>
      <c r="D277">
        <v>7</v>
      </c>
      <c r="E277" t="s">
        <v>48</v>
      </c>
      <c r="F277" t="s">
        <v>20</v>
      </c>
      <c r="G277" t="s">
        <v>15</v>
      </c>
      <c r="H277" t="s">
        <v>359</v>
      </c>
      <c r="I277" t="s">
        <v>17</v>
      </c>
      <c r="J277">
        <v>0</v>
      </c>
      <c r="K277">
        <v>95544</v>
      </c>
      <c r="L277">
        <v>7277409</v>
      </c>
      <c r="M277" t="str">
        <f t="shared" si="8"/>
        <v>Air Port</v>
      </c>
      <c r="N277" t="str">
        <f t="shared" si="9"/>
        <v>April</v>
      </c>
    </row>
    <row r="278" spans="1:14" x14ac:dyDescent="0.3">
      <c r="A278">
        <v>4</v>
      </c>
      <c r="B278">
        <v>2020</v>
      </c>
      <c r="C278" t="s">
        <v>28</v>
      </c>
      <c r="D278">
        <v>29</v>
      </c>
      <c r="E278" t="s">
        <v>236</v>
      </c>
      <c r="F278" t="s">
        <v>20</v>
      </c>
      <c r="G278" t="s">
        <v>106</v>
      </c>
      <c r="H278" t="s">
        <v>558</v>
      </c>
      <c r="I278" t="s">
        <v>17</v>
      </c>
      <c r="J278">
        <v>0</v>
      </c>
      <c r="K278">
        <v>169163</v>
      </c>
      <c r="L278">
        <v>12896424</v>
      </c>
      <c r="M278" t="str">
        <f t="shared" si="8"/>
        <v>ICD / Dry Port</v>
      </c>
      <c r="N278" t="str">
        <f t="shared" si="9"/>
        <v>April</v>
      </c>
    </row>
    <row r="279" spans="1:14" x14ac:dyDescent="0.3">
      <c r="A279">
        <v>6</v>
      </c>
      <c r="B279">
        <v>2021</v>
      </c>
      <c r="C279" t="s">
        <v>58</v>
      </c>
      <c r="D279">
        <v>27</v>
      </c>
      <c r="E279" t="s">
        <v>125</v>
      </c>
      <c r="F279" t="s">
        <v>237</v>
      </c>
      <c r="G279" t="s">
        <v>146</v>
      </c>
      <c r="H279" t="s">
        <v>147</v>
      </c>
      <c r="I279" t="s">
        <v>17</v>
      </c>
      <c r="J279">
        <v>0</v>
      </c>
      <c r="K279">
        <v>45585</v>
      </c>
      <c r="L279">
        <v>3353159</v>
      </c>
      <c r="M279" t="str">
        <f t="shared" si="8"/>
        <v>Air Port</v>
      </c>
      <c r="N279" t="str">
        <f t="shared" si="9"/>
        <v>June</v>
      </c>
    </row>
    <row r="280" spans="1:14" x14ac:dyDescent="0.3">
      <c r="A280">
        <v>5</v>
      </c>
      <c r="B280">
        <v>2019</v>
      </c>
      <c r="C280" t="s">
        <v>58</v>
      </c>
      <c r="D280">
        <v>27</v>
      </c>
      <c r="E280" t="s">
        <v>556</v>
      </c>
      <c r="F280" t="s">
        <v>35</v>
      </c>
      <c r="G280" t="s">
        <v>140</v>
      </c>
      <c r="H280" t="s">
        <v>554</v>
      </c>
      <c r="I280" t="s">
        <v>17</v>
      </c>
      <c r="J280">
        <v>0</v>
      </c>
      <c r="K280">
        <v>606</v>
      </c>
      <c r="L280">
        <v>42269</v>
      </c>
      <c r="M280" t="str">
        <f t="shared" si="8"/>
        <v>SEZ / Industrial Zone</v>
      </c>
      <c r="N280" t="str">
        <f t="shared" si="9"/>
        <v>May</v>
      </c>
    </row>
    <row r="281" spans="1:14" x14ac:dyDescent="0.3">
      <c r="A281">
        <v>12</v>
      </c>
      <c r="B281">
        <v>2020</v>
      </c>
      <c r="C281" t="s">
        <v>132</v>
      </c>
      <c r="D281">
        <v>19</v>
      </c>
      <c r="E281" t="s">
        <v>588</v>
      </c>
      <c r="F281" t="s">
        <v>224</v>
      </c>
      <c r="G281" t="s">
        <v>116</v>
      </c>
      <c r="H281" t="s">
        <v>117</v>
      </c>
      <c r="I281" t="s">
        <v>17</v>
      </c>
      <c r="J281">
        <v>0</v>
      </c>
      <c r="K281">
        <v>5179042</v>
      </c>
      <c r="L281">
        <v>381144359</v>
      </c>
      <c r="M281" t="str">
        <f t="shared" si="8"/>
        <v>Land Port</v>
      </c>
      <c r="N281" t="str">
        <f t="shared" si="9"/>
        <v>December</v>
      </c>
    </row>
    <row r="282" spans="1:14" x14ac:dyDescent="0.3">
      <c r="A282">
        <v>12</v>
      </c>
      <c r="B282">
        <v>2023</v>
      </c>
      <c r="C282" t="s">
        <v>137</v>
      </c>
      <c r="D282">
        <v>36</v>
      </c>
      <c r="E282" t="s">
        <v>148</v>
      </c>
      <c r="F282" t="s">
        <v>153</v>
      </c>
      <c r="G282" t="s">
        <v>31</v>
      </c>
      <c r="H282" t="s">
        <v>32</v>
      </c>
      <c r="I282" t="s">
        <v>17</v>
      </c>
      <c r="J282">
        <v>0</v>
      </c>
      <c r="K282">
        <v>65144</v>
      </c>
      <c r="L282">
        <v>5425070</v>
      </c>
      <c r="M282" t="str">
        <f t="shared" si="8"/>
        <v>Sea Port</v>
      </c>
      <c r="N282" t="str">
        <f t="shared" si="9"/>
        <v>December</v>
      </c>
    </row>
    <row r="283" spans="1:14" x14ac:dyDescent="0.3">
      <c r="A283">
        <v>5</v>
      </c>
      <c r="B283">
        <v>2019</v>
      </c>
      <c r="C283" t="s">
        <v>28</v>
      </c>
      <c r="D283">
        <v>29</v>
      </c>
      <c r="E283" t="s">
        <v>236</v>
      </c>
      <c r="F283" t="s">
        <v>193</v>
      </c>
      <c r="G283" t="s">
        <v>127</v>
      </c>
      <c r="H283" t="s">
        <v>128</v>
      </c>
      <c r="I283" t="s">
        <v>17</v>
      </c>
      <c r="J283">
        <v>0</v>
      </c>
      <c r="K283">
        <v>261046</v>
      </c>
      <c r="L283">
        <v>18213956</v>
      </c>
      <c r="M283" t="str">
        <f t="shared" si="8"/>
        <v>ICD / Dry Port</v>
      </c>
      <c r="N283" t="str">
        <f t="shared" si="9"/>
        <v>May</v>
      </c>
    </row>
    <row r="284" spans="1:14" x14ac:dyDescent="0.3">
      <c r="A284">
        <v>2</v>
      </c>
      <c r="B284">
        <v>2024</v>
      </c>
      <c r="C284" t="s">
        <v>132</v>
      </c>
      <c r="D284">
        <v>19</v>
      </c>
      <c r="E284" t="s">
        <v>209</v>
      </c>
      <c r="F284" t="s">
        <v>190</v>
      </c>
      <c r="G284" t="s">
        <v>121</v>
      </c>
      <c r="H284" t="s">
        <v>122</v>
      </c>
      <c r="I284" t="s">
        <v>17</v>
      </c>
      <c r="J284">
        <v>0</v>
      </c>
      <c r="K284">
        <v>119391</v>
      </c>
      <c r="L284">
        <v>9905054</v>
      </c>
      <c r="M284" t="str">
        <f t="shared" si="8"/>
        <v>Sea Port</v>
      </c>
      <c r="N284" t="str">
        <f t="shared" si="9"/>
        <v>February</v>
      </c>
    </row>
    <row r="285" spans="1:14" x14ac:dyDescent="0.3">
      <c r="A285">
        <v>4</v>
      </c>
      <c r="B285">
        <v>2018</v>
      </c>
      <c r="C285" t="s">
        <v>58</v>
      </c>
      <c r="D285">
        <v>27</v>
      </c>
      <c r="E285" t="s">
        <v>310</v>
      </c>
      <c r="F285" t="s">
        <v>131</v>
      </c>
      <c r="G285" t="s">
        <v>335</v>
      </c>
      <c r="H285" t="s">
        <v>507</v>
      </c>
      <c r="I285" t="s">
        <v>17</v>
      </c>
      <c r="J285">
        <v>0</v>
      </c>
      <c r="K285">
        <v>70770</v>
      </c>
      <c r="L285">
        <v>4645084</v>
      </c>
      <c r="M285" t="str">
        <f t="shared" si="8"/>
        <v>SEZ / Industrial Zone</v>
      </c>
      <c r="N285" t="str">
        <f t="shared" si="9"/>
        <v>April</v>
      </c>
    </row>
    <row r="286" spans="1:14" x14ac:dyDescent="0.3">
      <c r="A286">
        <v>12</v>
      </c>
      <c r="B286">
        <v>2020</v>
      </c>
      <c r="C286" t="s">
        <v>79</v>
      </c>
      <c r="D286">
        <v>9</v>
      </c>
      <c r="E286" t="s">
        <v>351</v>
      </c>
      <c r="F286" t="s">
        <v>131</v>
      </c>
      <c r="G286" t="s">
        <v>86</v>
      </c>
      <c r="H286" t="s">
        <v>548</v>
      </c>
      <c r="I286" t="s">
        <v>17</v>
      </c>
      <c r="J286">
        <v>0</v>
      </c>
      <c r="K286">
        <v>103874</v>
      </c>
      <c r="L286">
        <v>7644476</v>
      </c>
      <c r="M286" t="str">
        <f t="shared" si="8"/>
        <v>ICD / Dry Port</v>
      </c>
      <c r="N286" t="str">
        <f t="shared" si="9"/>
        <v>December</v>
      </c>
    </row>
    <row r="287" spans="1:14" x14ac:dyDescent="0.3">
      <c r="A287">
        <v>9</v>
      </c>
      <c r="B287">
        <v>2022</v>
      </c>
      <c r="C287" t="s">
        <v>28</v>
      </c>
      <c r="D287">
        <v>29</v>
      </c>
      <c r="E287" t="s">
        <v>29</v>
      </c>
      <c r="F287" t="s">
        <v>153</v>
      </c>
      <c r="G287" t="s">
        <v>26</v>
      </c>
      <c r="H287" t="s">
        <v>27</v>
      </c>
      <c r="I287" t="s">
        <v>17</v>
      </c>
      <c r="J287">
        <v>0</v>
      </c>
      <c r="K287">
        <v>10680413</v>
      </c>
      <c r="L287">
        <v>856906574</v>
      </c>
      <c r="M287" t="str">
        <f t="shared" si="8"/>
        <v>Sea Port</v>
      </c>
      <c r="N287" t="str">
        <f t="shared" si="9"/>
        <v>September</v>
      </c>
    </row>
    <row r="288" spans="1:14" x14ac:dyDescent="0.3">
      <c r="A288">
        <v>11</v>
      </c>
      <c r="B288">
        <v>2022</v>
      </c>
      <c r="C288" t="s">
        <v>137</v>
      </c>
      <c r="D288">
        <v>36</v>
      </c>
      <c r="E288" t="s">
        <v>148</v>
      </c>
      <c r="F288" t="s">
        <v>327</v>
      </c>
      <c r="G288" t="s">
        <v>258</v>
      </c>
      <c r="H288" t="s">
        <v>259</v>
      </c>
      <c r="I288" t="s">
        <v>17</v>
      </c>
      <c r="J288">
        <v>0</v>
      </c>
      <c r="K288">
        <v>11221</v>
      </c>
      <c r="L288">
        <v>918025</v>
      </c>
      <c r="M288" t="str">
        <f t="shared" si="8"/>
        <v>Sea Port</v>
      </c>
      <c r="N288" t="str">
        <f t="shared" si="9"/>
        <v>November</v>
      </c>
    </row>
    <row r="289" spans="1:14" x14ac:dyDescent="0.3">
      <c r="A289">
        <v>7</v>
      </c>
      <c r="B289">
        <v>2018</v>
      </c>
      <c r="C289" t="s">
        <v>23</v>
      </c>
      <c r="D289">
        <v>24</v>
      </c>
      <c r="E289" t="s">
        <v>38</v>
      </c>
      <c r="F289" t="s">
        <v>263</v>
      </c>
      <c r="G289" t="s">
        <v>77</v>
      </c>
      <c r="H289" t="s">
        <v>78</v>
      </c>
      <c r="I289" t="s">
        <v>17</v>
      </c>
      <c r="J289">
        <v>0</v>
      </c>
      <c r="K289">
        <v>885</v>
      </c>
      <c r="L289">
        <v>60811</v>
      </c>
      <c r="M289" t="str">
        <f t="shared" si="8"/>
        <v>ICD / Dry Port</v>
      </c>
      <c r="N289" t="str">
        <f t="shared" si="9"/>
        <v>July</v>
      </c>
    </row>
    <row r="290" spans="1:14" x14ac:dyDescent="0.3">
      <c r="A290">
        <v>12</v>
      </c>
      <c r="B290">
        <v>2018</v>
      </c>
      <c r="C290" t="s">
        <v>12</v>
      </c>
      <c r="D290">
        <v>8</v>
      </c>
      <c r="E290" t="s">
        <v>426</v>
      </c>
      <c r="F290" t="s">
        <v>35</v>
      </c>
      <c r="G290" t="s">
        <v>173</v>
      </c>
      <c r="H290" t="s">
        <v>174</v>
      </c>
      <c r="I290" t="s">
        <v>17</v>
      </c>
      <c r="J290">
        <v>0</v>
      </c>
      <c r="K290">
        <v>682</v>
      </c>
      <c r="L290">
        <v>48264</v>
      </c>
      <c r="M290" t="str">
        <f t="shared" si="8"/>
        <v>Other</v>
      </c>
      <c r="N290" t="str">
        <f t="shared" si="9"/>
        <v>December</v>
      </c>
    </row>
    <row r="291" spans="1:14" x14ac:dyDescent="0.3">
      <c r="A291">
        <v>7</v>
      </c>
      <c r="B291">
        <v>2022</v>
      </c>
      <c r="C291" t="s">
        <v>23</v>
      </c>
      <c r="D291">
        <v>24</v>
      </c>
      <c r="E291" t="s">
        <v>218</v>
      </c>
      <c r="F291" t="s">
        <v>350</v>
      </c>
      <c r="G291" t="s">
        <v>127</v>
      </c>
      <c r="H291" t="s">
        <v>128</v>
      </c>
      <c r="I291" t="s">
        <v>17</v>
      </c>
      <c r="J291">
        <v>0</v>
      </c>
      <c r="K291">
        <v>15561</v>
      </c>
      <c r="L291">
        <v>1238667</v>
      </c>
      <c r="M291" t="str">
        <f t="shared" si="8"/>
        <v>Air Port</v>
      </c>
      <c r="N291" t="str">
        <f t="shared" si="9"/>
        <v>July</v>
      </c>
    </row>
    <row r="292" spans="1:14" x14ac:dyDescent="0.3">
      <c r="A292">
        <v>12</v>
      </c>
      <c r="B292">
        <v>2021</v>
      </c>
      <c r="C292" t="s">
        <v>79</v>
      </c>
      <c r="D292">
        <v>9</v>
      </c>
      <c r="E292" t="s">
        <v>189</v>
      </c>
      <c r="F292" t="s">
        <v>90</v>
      </c>
      <c r="G292" t="s">
        <v>335</v>
      </c>
      <c r="H292" t="s">
        <v>507</v>
      </c>
      <c r="I292" t="s">
        <v>17</v>
      </c>
      <c r="J292">
        <v>0</v>
      </c>
      <c r="K292">
        <v>616038</v>
      </c>
      <c r="L292">
        <v>46432291</v>
      </c>
      <c r="M292" t="str">
        <f t="shared" si="8"/>
        <v>Other</v>
      </c>
      <c r="N292" t="str">
        <f t="shared" si="9"/>
        <v>December</v>
      </c>
    </row>
    <row r="293" spans="1:14" x14ac:dyDescent="0.3">
      <c r="A293">
        <v>11</v>
      </c>
      <c r="B293">
        <v>2021</v>
      </c>
      <c r="C293" t="s">
        <v>132</v>
      </c>
      <c r="D293">
        <v>19</v>
      </c>
      <c r="E293" t="s">
        <v>133</v>
      </c>
      <c r="F293" t="s">
        <v>35</v>
      </c>
      <c r="G293" t="s">
        <v>52</v>
      </c>
      <c r="H293" t="s">
        <v>53</v>
      </c>
      <c r="I293" t="s">
        <v>17</v>
      </c>
      <c r="J293">
        <v>0</v>
      </c>
      <c r="K293">
        <v>12865</v>
      </c>
      <c r="L293">
        <v>958365</v>
      </c>
      <c r="M293" t="str">
        <f t="shared" si="8"/>
        <v>Air Port</v>
      </c>
      <c r="N293" t="str">
        <f t="shared" si="9"/>
        <v>November</v>
      </c>
    </row>
    <row r="294" spans="1:14" x14ac:dyDescent="0.3">
      <c r="A294">
        <v>7</v>
      </c>
      <c r="B294">
        <v>2019</v>
      </c>
      <c r="C294" t="s">
        <v>47</v>
      </c>
      <c r="D294">
        <v>7</v>
      </c>
      <c r="E294" t="s">
        <v>48</v>
      </c>
      <c r="F294" t="s">
        <v>280</v>
      </c>
      <c r="G294" t="s">
        <v>127</v>
      </c>
      <c r="H294" t="s">
        <v>128</v>
      </c>
      <c r="I294" t="s">
        <v>17</v>
      </c>
      <c r="J294">
        <v>0</v>
      </c>
      <c r="K294">
        <v>120795</v>
      </c>
      <c r="L294">
        <v>8311687</v>
      </c>
      <c r="M294" t="str">
        <f t="shared" si="8"/>
        <v>Air Port</v>
      </c>
      <c r="N294" t="str">
        <f t="shared" si="9"/>
        <v>July</v>
      </c>
    </row>
    <row r="295" spans="1:14" x14ac:dyDescent="0.3">
      <c r="A295">
        <v>10</v>
      </c>
      <c r="B295">
        <v>2023</v>
      </c>
      <c r="C295" t="s">
        <v>12</v>
      </c>
      <c r="D295">
        <v>8</v>
      </c>
      <c r="E295" t="s">
        <v>326</v>
      </c>
      <c r="F295" t="s">
        <v>90</v>
      </c>
      <c r="G295" t="s">
        <v>146</v>
      </c>
      <c r="H295" t="s">
        <v>147</v>
      </c>
      <c r="I295" t="s">
        <v>17</v>
      </c>
      <c r="J295">
        <v>0</v>
      </c>
      <c r="K295">
        <v>1967</v>
      </c>
      <c r="L295">
        <v>163750</v>
      </c>
      <c r="M295" t="str">
        <f t="shared" si="8"/>
        <v>ICD / Dry Port</v>
      </c>
      <c r="N295" t="str">
        <f t="shared" si="9"/>
        <v>October</v>
      </c>
    </row>
    <row r="296" spans="1:14" x14ac:dyDescent="0.3">
      <c r="A296">
        <v>7</v>
      </c>
      <c r="B296">
        <v>2022</v>
      </c>
      <c r="C296" t="s">
        <v>47</v>
      </c>
      <c r="D296">
        <v>7</v>
      </c>
      <c r="E296" t="s">
        <v>48</v>
      </c>
      <c r="F296" t="s">
        <v>35</v>
      </c>
      <c r="G296" t="s">
        <v>61</v>
      </c>
      <c r="H296" t="s">
        <v>62</v>
      </c>
      <c r="I296" t="s">
        <v>17</v>
      </c>
      <c r="J296">
        <v>0</v>
      </c>
      <c r="K296">
        <v>1122382</v>
      </c>
      <c r="L296">
        <v>89343446</v>
      </c>
      <c r="M296" t="str">
        <f t="shared" si="8"/>
        <v>Air Port</v>
      </c>
      <c r="N296" t="str">
        <f t="shared" si="9"/>
        <v>July</v>
      </c>
    </row>
    <row r="297" spans="1:14" x14ac:dyDescent="0.3">
      <c r="A297">
        <v>6</v>
      </c>
      <c r="B297">
        <v>2019</v>
      </c>
      <c r="C297" t="s">
        <v>73</v>
      </c>
      <c r="D297">
        <v>3</v>
      </c>
      <c r="E297" t="s">
        <v>314</v>
      </c>
      <c r="F297" t="s">
        <v>241</v>
      </c>
      <c r="G297" t="s">
        <v>61</v>
      </c>
      <c r="H297" t="s">
        <v>62</v>
      </c>
      <c r="I297" t="s">
        <v>17</v>
      </c>
      <c r="J297">
        <v>0</v>
      </c>
      <c r="K297">
        <v>652</v>
      </c>
      <c r="L297">
        <v>45281</v>
      </c>
      <c r="M297" t="str">
        <f t="shared" si="8"/>
        <v>ICD / Dry Port</v>
      </c>
      <c r="N297" t="str">
        <f t="shared" si="9"/>
        <v>June</v>
      </c>
    </row>
    <row r="298" spans="1:14" x14ac:dyDescent="0.3">
      <c r="A298">
        <v>6</v>
      </c>
      <c r="B298">
        <v>2018</v>
      </c>
      <c r="C298" t="s">
        <v>28</v>
      </c>
      <c r="D298">
        <v>29</v>
      </c>
      <c r="E298" t="s">
        <v>236</v>
      </c>
      <c r="F298" t="s">
        <v>145</v>
      </c>
      <c r="G298" t="s">
        <v>123</v>
      </c>
      <c r="H298" t="s">
        <v>553</v>
      </c>
      <c r="I298" t="s">
        <v>17</v>
      </c>
      <c r="J298">
        <v>0</v>
      </c>
      <c r="K298">
        <v>39427</v>
      </c>
      <c r="L298">
        <v>2672897</v>
      </c>
      <c r="M298" t="str">
        <f t="shared" si="8"/>
        <v>ICD / Dry Port</v>
      </c>
      <c r="N298" t="str">
        <f t="shared" si="9"/>
        <v>June</v>
      </c>
    </row>
    <row r="299" spans="1:14" x14ac:dyDescent="0.3">
      <c r="A299">
        <v>4</v>
      </c>
      <c r="B299">
        <v>2019</v>
      </c>
      <c r="C299" t="s">
        <v>58</v>
      </c>
      <c r="D299">
        <v>27</v>
      </c>
      <c r="E299" t="s">
        <v>125</v>
      </c>
      <c r="F299" t="s">
        <v>60</v>
      </c>
      <c r="G299" t="s">
        <v>61</v>
      </c>
      <c r="H299" t="s">
        <v>62</v>
      </c>
      <c r="I299" t="s">
        <v>17</v>
      </c>
      <c r="J299">
        <v>0</v>
      </c>
      <c r="K299">
        <v>718</v>
      </c>
      <c r="L299">
        <v>49842</v>
      </c>
      <c r="M299" t="str">
        <f t="shared" si="8"/>
        <v>Air Port</v>
      </c>
      <c r="N299" t="str">
        <f t="shared" si="9"/>
        <v>April</v>
      </c>
    </row>
    <row r="300" spans="1:14" x14ac:dyDescent="0.3">
      <c r="A300">
        <v>8</v>
      </c>
      <c r="B300">
        <v>2023</v>
      </c>
      <c r="C300" t="s">
        <v>137</v>
      </c>
      <c r="D300">
        <v>36</v>
      </c>
      <c r="E300" t="s">
        <v>523</v>
      </c>
      <c r="F300" t="s">
        <v>30</v>
      </c>
      <c r="G300" t="s">
        <v>195</v>
      </c>
      <c r="H300" t="s">
        <v>196</v>
      </c>
      <c r="I300" t="s">
        <v>17</v>
      </c>
      <c r="J300">
        <v>0</v>
      </c>
      <c r="K300">
        <v>183</v>
      </c>
      <c r="L300">
        <v>15130</v>
      </c>
      <c r="M300" t="str">
        <f t="shared" si="8"/>
        <v>SEZ / Industrial Zone</v>
      </c>
      <c r="N300" t="str">
        <f t="shared" si="9"/>
        <v>August</v>
      </c>
    </row>
    <row r="301" spans="1:14" x14ac:dyDescent="0.3">
      <c r="A301">
        <v>2</v>
      </c>
      <c r="B301">
        <v>2020</v>
      </c>
      <c r="C301" t="s">
        <v>47</v>
      </c>
      <c r="D301">
        <v>7</v>
      </c>
      <c r="E301" t="s">
        <v>48</v>
      </c>
      <c r="F301" t="s">
        <v>263</v>
      </c>
      <c r="G301" t="s">
        <v>150</v>
      </c>
      <c r="H301" t="s">
        <v>151</v>
      </c>
      <c r="I301" t="s">
        <v>17</v>
      </c>
      <c r="J301">
        <v>0</v>
      </c>
      <c r="K301">
        <v>15847</v>
      </c>
      <c r="L301">
        <v>1132905</v>
      </c>
      <c r="M301" t="str">
        <f t="shared" si="8"/>
        <v>Air Port</v>
      </c>
      <c r="N301" t="str">
        <f t="shared" si="9"/>
        <v>February</v>
      </c>
    </row>
    <row r="302" spans="1:14" x14ac:dyDescent="0.3">
      <c r="A302">
        <v>2</v>
      </c>
      <c r="B302">
        <v>2024</v>
      </c>
      <c r="C302" t="s">
        <v>28</v>
      </c>
      <c r="D302">
        <v>29</v>
      </c>
      <c r="E302" t="s">
        <v>236</v>
      </c>
      <c r="F302" t="s">
        <v>118</v>
      </c>
      <c r="G302" t="s">
        <v>157</v>
      </c>
      <c r="H302" t="s">
        <v>158</v>
      </c>
      <c r="I302" t="s">
        <v>17</v>
      </c>
      <c r="J302">
        <v>0</v>
      </c>
      <c r="K302">
        <v>217525</v>
      </c>
      <c r="L302">
        <v>18046644</v>
      </c>
      <c r="M302" t="str">
        <f t="shared" si="8"/>
        <v>ICD / Dry Port</v>
      </c>
      <c r="N302" t="str">
        <f t="shared" si="9"/>
        <v>February</v>
      </c>
    </row>
    <row r="303" spans="1:14" x14ac:dyDescent="0.3">
      <c r="A303">
        <v>3</v>
      </c>
      <c r="B303">
        <v>2020</v>
      </c>
      <c r="C303" t="s">
        <v>47</v>
      </c>
      <c r="D303">
        <v>7</v>
      </c>
      <c r="E303" t="s">
        <v>48</v>
      </c>
      <c r="F303" t="s">
        <v>108</v>
      </c>
      <c r="G303" t="s">
        <v>52</v>
      </c>
      <c r="H303" t="s">
        <v>53</v>
      </c>
      <c r="I303" t="s">
        <v>17</v>
      </c>
      <c r="J303">
        <v>0</v>
      </c>
      <c r="K303">
        <v>297561</v>
      </c>
      <c r="L303">
        <v>22123844</v>
      </c>
      <c r="M303" t="str">
        <f t="shared" si="8"/>
        <v>Air Port</v>
      </c>
      <c r="N303" t="str">
        <f t="shared" si="9"/>
        <v>March</v>
      </c>
    </row>
    <row r="304" spans="1:14" x14ac:dyDescent="0.3">
      <c r="A304">
        <v>11</v>
      </c>
      <c r="B304">
        <v>2021</v>
      </c>
      <c r="C304" t="s">
        <v>28</v>
      </c>
      <c r="D304">
        <v>29</v>
      </c>
      <c r="E304" t="s">
        <v>584</v>
      </c>
      <c r="F304" t="s">
        <v>30</v>
      </c>
      <c r="G304" t="s">
        <v>61</v>
      </c>
      <c r="H304" t="s">
        <v>62</v>
      </c>
      <c r="I304" t="s">
        <v>17</v>
      </c>
      <c r="J304">
        <v>0</v>
      </c>
      <c r="K304">
        <v>18123</v>
      </c>
      <c r="L304">
        <v>1350128</v>
      </c>
      <c r="M304" t="str">
        <f t="shared" si="8"/>
        <v>SEZ / Industrial Zone</v>
      </c>
      <c r="N304" t="str">
        <f t="shared" si="9"/>
        <v>November</v>
      </c>
    </row>
    <row r="305" spans="1:14" x14ac:dyDescent="0.3">
      <c r="A305">
        <v>2</v>
      </c>
      <c r="B305">
        <v>2020</v>
      </c>
      <c r="C305" t="s">
        <v>58</v>
      </c>
      <c r="D305">
        <v>27</v>
      </c>
      <c r="E305" t="s">
        <v>59</v>
      </c>
      <c r="F305" t="s">
        <v>317</v>
      </c>
      <c r="G305" t="s">
        <v>127</v>
      </c>
      <c r="H305" t="s">
        <v>128</v>
      </c>
      <c r="I305" t="s">
        <v>17</v>
      </c>
      <c r="J305">
        <v>0</v>
      </c>
      <c r="K305">
        <v>14028</v>
      </c>
      <c r="L305">
        <v>1002860</v>
      </c>
      <c r="M305" t="str">
        <f t="shared" si="8"/>
        <v>Sea Port</v>
      </c>
      <c r="N305" t="str">
        <f t="shared" si="9"/>
        <v>February</v>
      </c>
    </row>
    <row r="306" spans="1:14" x14ac:dyDescent="0.3">
      <c r="A306">
        <v>11</v>
      </c>
      <c r="B306">
        <v>2018</v>
      </c>
      <c r="C306" t="s">
        <v>23</v>
      </c>
      <c r="D306">
        <v>24</v>
      </c>
      <c r="E306" t="s">
        <v>235</v>
      </c>
      <c r="F306" t="s">
        <v>529</v>
      </c>
      <c r="G306" t="s">
        <v>106</v>
      </c>
      <c r="H306" t="s">
        <v>558</v>
      </c>
      <c r="I306" t="s">
        <v>17</v>
      </c>
      <c r="J306">
        <v>0</v>
      </c>
      <c r="K306">
        <v>243932</v>
      </c>
      <c r="L306">
        <v>17527540</v>
      </c>
      <c r="M306" t="str">
        <f t="shared" si="8"/>
        <v>Sea Port</v>
      </c>
      <c r="N306" t="str">
        <f t="shared" si="9"/>
        <v>November</v>
      </c>
    </row>
    <row r="307" spans="1:14" x14ac:dyDescent="0.3">
      <c r="A307">
        <v>8</v>
      </c>
      <c r="B307">
        <v>2021</v>
      </c>
      <c r="C307" t="s">
        <v>47</v>
      </c>
      <c r="D307">
        <v>7</v>
      </c>
      <c r="E307" t="s">
        <v>509</v>
      </c>
      <c r="F307" t="s">
        <v>231</v>
      </c>
      <c r="G307" t="s">
        <v>106</v>
      </c>
      <c r="H307" t="s">
        <v>558</v>
      </c>
      <c r="I307" t="s">
        <v>17</v>
      </c>
      <c r="J307">
        <v>0</v>
      </c>
      <c r="K307">
        <v>5941</v>
      </c>
      <c r="L307">
        <v>440728</v>
      </c>
      <c r="M307" t="str">
        <f t="shared" si="8"/>
        <v>CFS</v>
      </c>
      <c r="N307" t="str">
        <f t="shared" si="9"/>
        <v>August</v>
      </c>
    </row>
    <row r="308" spans="1:14" x14ac:dyDescent="0.3">
      <c r="A308">
        <v>1</v>
      </c>
      <c r="B308">
        <v>2022</v>
      </c>
      <c r="C308" t="s">
        <v>23</v>
      </c>
      <c r="D308">
        <v>24</v>
      </c>
      <c r="E308" t="s">
        <v>218</v>
      </c>
      <c r="F308" t="s">
        <v>131</v>
      </c>
      <c r="G308" t="s">
        <v>95</v>
      </c>
      <c r="H308" t="s">
        <v>96</v>
      </c>
      <c r="I308" t="s">
        <v>17</v>
      </c>
      <c r="J308">
        <v>0</v>
      </c>
      <c r="K308">
        <v>33957</v>
      </c>
      <c r="L308">
        <v>2527832</v>
      </c>
      <c r="M308" t="str">
        <f t="shared" si="8"/>
        <v>Air Port</v>
      </c>
      <c r="N308" t="str">
        <f t="shared" si="9"/>
        <v>January</v>
      </c>
    </row>
    <row r="309" spans="1:14" x14ac:dyDescent="0.3">
      <c r="A309">
        <v>3</v>
      </c>
      <c r="B309">
        <v>2021</v>
      </c>
      <c r="C309" t="s">
        <v>79</v>
      </c>
      <c r="D309">
        <v>9</v>
      </c>
      <c r="E309" t="s">
        <v>351</v>
      </c>
      <c r="F309" t="s">
        <v>237</v>
      </c>
      <c r="G309" t="s">
        <v>335</v>
      </c>
      <c r="H309" t="s">
        <v>507</v>
      </c>
      <c r="I309" t="s">
        <v>17</v>
      </c>
      <c r="J309">
        <v>0</v>
      </c>
      <c r="K309">
        <v>176971</v>
      </c>
      <c r="L309">
        <v>12882216</v>
      </c>
      <c r="M309" t="str">
        <f t="shared" si="8"/>
        <v>ICD / Dry Port</v>
      </c>
      <c r="N309" t="str">
        <f t="shared" si="9"/>
        <v>March</v>
      </c>
    </row>
    <row r="310" spans="1:14" x14ac:dyDescent="0.3">
      <c r="A310">
        <v>3</v>
      </c>
      <c r="B310">
        <v>2018</v>
      </c>
      <c r="C310" t="s">
        <v>33</v>
      </c>
      <c r="D310">
        <v>32</v>
      </c>
      <c r="E310" t="s">
        <v>561</v>
      </c>
      <c r="F310" t="s">
        <v>589</v>
      </c>
      <c r="G310" t="s">
        <v>56</v>
      </c>
      <c r="H310" t="s">
        <v>57</v>
      </c>
      <c r="I310" t="s">
        <v>17</v>
      </c>
      <c r="J310">
        <v>0</v>
      </c>
      <c r="K310">
        <v>86228</v>
      </c>
      <c r="L310">
        <v>5606641</v>
      </c>
      <c r="M310" t="str">
        <f t="shared" si="8"/>
        <v>Sea Port</v>
      </c>
      <c r="N310" t="str">
        <f t="shared" si="9"/>
        <v>March</v>
      </c>
    </row>
    <row r="311" spans="1:14" x14ac:dyDescent="0.3">
      <c r="A311">
        <v>1</v>
      </c>
      <c r="B311">
        <v>2020</v>
      </c>
      <c r="C311" t="s">
        <v>28</v>
      </c>
      <c r="D311">
        <v>29</v>
      </c>
      <c r="E311" t="s">
        <v>236</v>
      </c>
      <c r="F311" t="s">
        <v>90</v>
      </c>
      <c r="G311" t="s">
        <v>579</v>
      </c>
      <c r="H311" t="s">
        <v>580</v>
      </c>
      <c r="I311" t="s">
        <v>17</v>
      </c>
      <c r="J311">
        <v>0</v>
      </c>
      <c r="K311">
        <v>2356</v>
      </c>
      <c r="L311">
        <v>168033</v>
      </c>
      <c r="M311" t="str">
        <f t="shared" si="8"/>
        <v>ICD / Dry Port</v>
      </c>
      <c r="N311" t="str">
        <f t="shared" si="9"/>
        <v>January</v>
      </c>
    </row>
    <row r="312" spans="1:14" x14ac:dyDescent="0.3">
      <c r="A312">
        <v>4</v>
      </c>
      <c r="B312">
        <v>2024</v>
      </c>
      <c r="C312" t="s">
        <v>18</v>
      </c>
      <c r="D312">
        <v>6</v>
      </c>
      <c r="E312" t="s">
        <v>254</v>
      </c>
      <c r="F312" t="s">
        <v>142</v>
      </c>
      <c r="G312" t="s">
        <v>146</v>
      </c>
      <c r="H312" t="s">
        <v>147</v>
      </c>
      <c r="I312" t="s">
        <v>17</v>
      </c>
      <c r="J312">
        <v>0</v>
      </c>
      <c r="K312">
        <v>32864</v>
      </c>
      <c r="L312">
        <v>2741031</v>
      </c>
      <c r="M312" t="str">
        <f t="shared" si="8"/>
        <v>ICD / Dry Port</v>
      </c>
      <c r="N312" t="str">
        <f t="shared" si="9"/>
        <v>April</v>
      </c>
    </row>
    <row r="313" spans="1:14" x14ac:dyDescent="0.3">
      <c r="A313">
        <v>9</v>
      </c>
      <c r="B313">
        <v>2020</v>
      </c>
      <c r="C313" t="s">
        <v>23</v>
      </c>
      <c r="D313">
        <v>24</v>
      </c>
      <c r="E313" t="s">
        <v>517</v>
      </c>
      <c r="F313" t="s">
        <v>35</v>
      </c>
      <c r="G313" t="s">
        <v>15</v>
      </c>
      <c r="H313" t="s">
        <v>359</v>
      </c>
      <c r="I313" t="s">
        <v>17</v>
      </c>
      <c r="J313">
        <v>0</v>
      </c>
      <c r="K313">
        <v>83</v>
      </c>
      <c r="L313">
        <v>6072</v>
      </c>
      <c r="M313" t="str">
        <f t="shared" si="8"/>
        <v>Other</v>
      </c>
      <c r="N313" t="str">
        <f t="shared" si="9"/>
        <v>September</v>
      </c>
    </row>
    <row r="314" spans="1:14" x14ac:dyDescent="0.3">
      <c r="A314">
        <v>11</v>
      </c>
      <c r="B314">
        <v>2018</v>
      </c>
      <c r="C314" t="s">
        <v>33</v>
      </c>
      <c r="D314">
        <v>32</v>
      </c>
      <c r="E314" t="s">
        <v>316</v>
      </c>
      <c r="F314" t="s">
        <v>265</v>
      </c>
      <c r="G314" t="s">
        <v>26</v>
      </c>
      <c r="H314" t="s">
        <v>27</v>
      </c>
      <c r="I314" t="s">
        <v>17</v>
      </c>
      <c r="J314">
        <v>0</v>
      </c>
      <c r="K314">
        <v>6666</v>
      </c>
      <c r="L314">
        <v>479001</v>
      </c>
      <c r="M314" t="str">
        <f t="shared" si="8"/>
        <v>SEZ / Industrial Zone</v>
      </c>
      <c r="N314" t="str">
        <f t="shared" si="9"/>
        <v>November</v>
      </c>
    </row>
    <row r="315" spans="1:14" x14ac:dyDescent="0.3">
      <c r="A315">
        <v>1</v>
      </c>
      <c r="B315">
        <v>2021</v>
      </c>
      <c r="C315" t="s">
        <v>28</v>
      </c>
      <c r="D315">
        <v>29</v>
      </c>
      <c r="E315" t="s">
        <v>29</v>
      </c>
      <c r="F315" t="s">
        <v>25</v>
      </c>
      <c r="G315" t="s">
        <v>86</v>
      </c>
      <c r="H315" t="s">
        <v>548</v>
      </c>
      <c r="I315" t="s">
        <v>17</v>
      </c>
      <c r="J315">
        <v>0</v>
      </c>
      <c r="K315">
        <v>54419</v>
      </c>
      <c r="L315">
        <v>3978545</v>
      </c>
      <c r="M315" t="str">
        <f t="shared" si="8"/>
        <v>Sea Port</v>
      </c>
      <c r="N315" t="str">
        <f t="shared" si="9"/>
        <v>January</v>
      </c>
    </row>
    <row r="316" spans="1:14" x14ac:dyDescent="0.3">
      <c r="A316">
        <v>10</v>
      </c>
      <c r="B316">
        <v>2019</v>
      </c>
      <c r="C316" t="s">
        <v>58</v>
      </c>
      <c r="D316">
        <v>27</v>
      </c>
      <c r="E316" t="s">
        <v>125</v>
      </c>
      <c r="F316" t="s">
        <v>108</v>
      </c>
      <c r="G316" t="s">
        <v>187</v>
      </c>
      <c r="H316" t="s">
        <v>188</v>
      </c>
      <c r="I316" t="s">
        <v>17</v>
      </c>
      <c r="J316">
        <v>0</v>
      </c>
      <c r="K316">
        <v>110843</v>
      </c>
      <c r="L316">
        <v>7874237</v>
      </c>
      <c r="M316" t="str">
        <f t="shared" si="8"/>
        <v>Air Port</v>
      </c>
      <c r="N316" t="str">
        <f t="shared" si="9"/>
        <v>October</v>
      </c>
    </row>
    <row r="317" spans="1:14" x14ac:dyDescent="0.3">
      <c r="A317">
        <v>12</v>
      </c>
      <c r="B317">
        <v>2022</v>
      </c>
      <c r="C317" t="s">
        <v>58</v>
      </c>
      <c r="D317">
        <v>27</v>
      </c>
      <c r="E317" t="s">
        <v>59</v>
      </c>
      <c r="F317" t="s">
        <v>105</v>
      </c>
      <c r="G317" t="s">
        <v>195</v>
      </c>
      <c r="H317" t="s">
        <v>196</v>
      </c>
      <c r="I317" t="s">
        <v>17</v>
      </c>
      <c r="J317">
        <v>0</v>
      </c>
      <c r="K317">
        <v>1047760</v>
      </c>
      <c r="L317">
        <v>86402612</v>
      </c>
      <c r="M317" t="str">
        <f t="shared" si="8"/>
        <v>Sea Port</v>
      </c>
      <c r="N317" t="str">
        <f t="shared" si="9"/>
        <v>December</v>
      </c>
    </row>
    <row r="318" spans="1:14" x14ac:dyDescent="0.3">
      <c r="A318">
        <v>5</v>
      </c>
      <c r="B318">
        <v>2023</v>
      </c>
      <c r="C318" t="s">
        <v>23</v>
      </c>
      <c r="D318">
        <v>24</v>
      </c>
      <c r="E318" t="s">
        <v>484</v>
      </c>
      <c r="F318" t="s">
        <v>172</v>
      </c>
      <c r="G318" t="s">
        <v>52</v>
      </c>
      <c r="H318" t="s">
        <v>53</v>
      </c>
      <c r="I318" t="s">
        <v>17</v>
      </c>
      <c r="J318">
        <v>0</v>
      </c>
      <c r="K318">
        <v>35816</v>
      </c>
      <c r="L318">
        <v>2949216</v>
      </c>
      <c r="M318" t="str">
        <f t="shared" si="8"/>
        <v>SEZ / Industrial Zone</v>
      </c>
      <c r="N318" t="str">
        <f t="shared" si="9"/>
        <v>May</v>
      </c>
    </row>
    <row r="319" spans="1:14" x14ac:dyDescent="0.3">
      <c r="A319">
        <v>5</v>
      </c>
      <c r="B319">
        <v>2018</v>
      </c>
      <c r="C319" t="s">
        <v>28</v>
      </c>
      <c r="D319">
        <v>29</v>
      </c>
      <c r="E319" t="s">
        <v>29</v>
      </c>
      <c r="F319" t="s">
        <v>231</v>
      </c>
      <c r="G319" t="s">
        <v>15</v>
      </c>
      <c r="H319" t="s">
        <v>359</v>
      </c>
      <c r="I319" t="s">
        <v>17</v>
      </c>
      <c r="J319">
        <v>0</v>
      </c>
      <c r="K319">
        <v>354</v>
      </c>
      <c r="L319">
        <v>23921</v>
      </c>
      <c r="M319" t="str">
        <f t="shared" si="8"/>
        <v>Sea Port</v>
      </c>
      <c r="N319" t="str">
        <f t="shared" si="9"/>
        <v>May</v>
      </c>
    </row>
    <row r="320" spans="1:14" x14ac:dyDescent="0.3">
      <c r="A320">
        <v>1</v>
      </c>
      <c r="B320">
        <v>2023</v>
      </c>
      <c r="C320" t="s">
        <v>132</v>
      </c>
      <c r="D320">
        <v>19</v>
      </c>
      <c r="E320" t="s">
        <v>133</v>
      </c>
      <c r="F320" t="s">
        <v>303</v>
      </c>
      <c r="G320" t="s">
        <v>248</v>
      </c>
      <c r="H320" t="s">
        <v>249</v>
      </c>
      <c r="I320" t="s">
        <v>17</v>
      </c>
      <c r="J320">
        <v>0</v>
      </c>
      <c r="K320">
        <v>116</v>
      </c>
      <c r="L320">
        <v>9492</v>
      </c>
      <c r="M320" t="str">
        <f t="shared" si="8"/>
        <v>Air Port</v>
      </c>
      <c r="N320" t="str">
        <f t="shared" si="9"/>
        <v>January</v>
      </c>
    </row>
    <row r="321" spans="1:14" x14ac:dyDescent="0.3">
      <c r="A321">
        <v>6</v>
      </c>
      <c r="B321">
        <v>2019</v>
      </c>
      <c r="C321" t="s">
        <v>23</v>
      </c>
      <c r="D321">
        <v>24</v>
      </c>
      <c r="E321" t="s">
        <v>199</v>
      </c>
      <c r="F321" t="s">
        <v>131</v>
      </c>
      <c r="G321" t="s">
        <v>157</v>
      </c>
      <c r="H321" t="s">
        <v>158</v>
      </c>
      <c r="I321" t="s">
        <v>17</v>
      </c>
      <c r="J321">
        <v>0</v>
      </c>
      <c r="K321">
        <v>51824</v>
      </c>
      <c r="L321">
        <v>3598575</v>
      </c>
      <c r="M321" t="str">
        <f t="shared" si="8"/>
        <v>SEZ / Industrial Zone</v>
      </c>
      <c r="N321" t="str">
        <f t="shared" si="9"/>
        <v>June</v>
      </c>
    </row>
    <row r="322" spans="1:14" x14ac:dyDescent="0.3">
      <c r="A322">
        <v>2</v>
      </c>
      <c r="B322">
        <v>2022</v>
      </c>
      <c r="C322" t="s">
        <v>275</v>
      </c>
      <c r="D322">
        <v>28</v>
      </c>
      <c r="E322" t="s">
        <v>518</v>
      </c>
      <c r="F322" t="s">
        <v>131</v>
      </c>
      <c r="G322" t="s">
        <v>15</v>
      </c>
      <c r="H322" t="s">
        <v>359</v>
      </c>
      <c r="I322" t="s">
        <v>17</v>
      </c>
      <c r="J322">
        <v>0</v>
      </c>
      <c r="K322">
        <v>14756</v>
      </c>
      <c r="L322">
        <v>1106752</v>
      </c>
      <c r="M322" t="str">
        <f t="shared" ref="M322:M385" si="10">IF(OR(ISNUMBER(SEARCH("ICD",E322)),ISNUMBER(SEARCH("Dry Port",E322))),"ICD / Dry Port", IF(OR(ISNUMBER(SEARCH("Sea",E322)),ISNUMBER(SEARCH("Port",E322))),"Sea Port", IF(OR(ISNUMBER(SEARCH("Air",E322)),ISNUMBER(SEARCH("Airport",E322))),"Air Port", IF(ISNUMBER(SEARCH("CFS",E322)),"CFS", IF(OR(ISNUMBER(SEARCH("SEZ",E322)),ISNUMBER(SEARCH("EPZ",E322)),ISNUMBER(SEARCH("FTWZ",E322)),ISNUMBER(SEARCH("City",E322)),ISNUMBER(SEARCH("Park",E322))),"SEZ / Industrial Zone", IF(OR(ISNUMBER(SEARCH("Land",E322)),ISNUMBER(SEARCH("LCS",E322)),ISNUMBER(SEARCH("Rly",E322))),"Land Port", "Other"))))))</f>
        <v>Other</v>
      </c>
      <c r="N322" t="str">
        <f t="shared" si="9"/>
        <v>February</v>
      </c>
    </row>
    <row r="323" spans="1:14" x14ac:dyDescent="0.3">
      <c r="A323">
        <v>12</v>
      </c>
      <c r="B323">
        <v>2019</v>
      </c>
      <c r="C323" t="s">
        <v>47</v>
      </c>
      <c r="D323">
        <v>7</v>
      </c>
      <c r="E323" t="s">
        <v>48</v>
      </c>
      <c r="F323" t="s">
        <v>294</v>
      </c>
      <c r="G323" t="s">
        <v>187</v>
      </c>
      <c r="H323" t="s">
        <v>188</v>
      </c>
      <c r="I323" t="s">
        <v>17</v>
      </c>
      <c r="J323">
        <v>0</v>
      </c>
      <c r="K323">
        <v>43934</v>
      </c>
      <c r="L323">
        <v>3127795</v>
      </c>
      <c r="M323" t="str">
        <f t="shared" si="10"/>
        <v>Air Port</v>
      </c>
      <c r="N323" t="str">
        <f t="shared" ref="N323:N386" si="11">TEXT(DATE(2024, A323, 1), "mmmm")</f>
        <v>December</v>
      </c>
    </row>
    <row r="324" spans="1:14" x14ac:dyDescent="0.3">
      <c r="A324">
        <v>9</v>
      </c>
      <c r="B324">
        <v>2022</v>
      </c>
      <c r="C324" t="s">
        <v>132</v>
      </c>
      <c r="D324">
        <v>19</v>
      </c>
      <c r="E324" t="s">
        <v>133</v>
      </c>
      <c r="F324" t="s">
        <v>105</v>
      </c>
      <c r="G324" t="s">
        <v>140</v>
      </c>
      <c r="H324" t="s">
        <v>554</v>
      </c>
      <c r="I324" t="s">
        <v>17</v>
      </c>
      <c r="J324">
        <v>0</v>
      </c>
      <c r="K324">
        <v>3144</v>
      </c>
      <c r="L324">
        <v>252223</v>
      </c>
      <c r="M324" t="str">
        <f t="shared" si="10"/>
        <v>Air Port</v>
      </c>
      <c r="N324" t="str">
        <f t="shared" si="11"/>
        <v>September</v>
      </c>
    </row>
    <row r="325" spans="1:14" x14ac:dyDescent="0.3">
      <c r="A325">
        <v>3</v>
      </c>
      <c r="B325">
        <v>2021</v>
      </c>
      <c r="C325" t="s">
        <v>275</v>
      </c>
      <c r="D325">
        <v>28</v>
      </c>
      <c r="E325" t="s">
        <v>574</v>
      </c>
      <c r="F325" t="s">
        <v>35</v>
      </c>
      <c r="G325" t="s">
        <v>358</v>
      </c>
      <c r="H325" t="s">
        <v>359</v>
      </c>
      <c r="I325" t="s">
        <v>360</v>
      </c>
      <c r="J325">
        <v>0</v>
      </c>
      <c r="K325">
        <v>15655</v>
      </c>
      <c r="L325">
        <v>1139567</v>
      </c>
      <c r="M325" t="str">
        <f t="shared" si="10"/>
        <v>SEZ / Industrial Zone</v>
      </c>
      <c r="N325" t="str">
        <f t="shared" si="11"/>
        <v>March</v>
      </c>
    </row>
    <row r="326" spans="1:14" x14ac:dyDescent="0.3">
      <c r="A326">
        <v>8</v>
      </c>
      <c r="B326">
        <v>2022</v>
      </c>
      <c r="C326" t="s">
        <v>42</v>
      </c>
      <c r="D326">
        <v>33</v>
      </c>
      <c r="E326" t="s">
        <v>111</v>
      </c>
      <c r="F326" t="s">
        <v>557</v>
      </c>
      <c r="G326" t="s">
        <v>398</v>
      </c>
      <c r="H326" t="s">
        <v>399</v>
      </c>
      <c r="I326" t="s">
        <v>360</v>
      </c>
      <c r="J326">
        <v>0</v>
      </c>
      <c r="K326">
        <v>5</v>
      </c>
      <c r="L326">
        <v>404</v>
      </c>
      <c r="M326" t="str">
        <f t="shared" si="10"/>
        <v>Air Port</v>
      </c>
      <c r="N326" t="str">
        <f t="shared" si="11"/>
        <v>August</v>
      </c>
    </row>
    <row r="327" spans="1:14" x14ac:dyDescent="0.3">
      <c r="A327">
        <v>5</v>
      </c>
      <c r="B327">
        <v>2022</v>
      </c>
      <c r="C327" t="s">
        <v>23</v>
      </c>
      <c r="D327">
        <v>24</v>
      </c>
      <c r="E327" t="s">
        <v>218</v>
      </c>
      <c r="F327" t="s">
        <v>251</v>
      </c>
      <c r="G327" t="s">
        <v>366</v>
      </c>
      <c r="H327" t="s">
        <v>367</v>
      </c>
      <c r="I327" t="s">
        <v>360</v>
      </c>
      <c r="J327">
        <v>0</v>
      </c>
      <c r="K327">
        <v>4140</v>
      </c>
      <c r="L327">
        <v>320134</v>
      </c>
      <c r="M327" t="str">
        <f t="shared" si="10"/>
        <v>Air Port</v>
      </c>
      <c r="N327" t="str">
        <f t="shared" si="11"/>
        <v>May</v>
      </c>
    </row>
    <row r="328" spans="1:14" x14ac:dyDescent="0.3">
      <c r="A328">
        <v>6</v>
      </c>
      <c r="B328">
        <v>2023</v>
      </c>
      <c r="C328" t="s">
        <v>58</v>
      </c>
      <c r="D328">
        <v>27</v>
      </c>
      <c r="E328" t="s">
        <v>216</v>
      </c>
      <c r="F328" t="s">
        <v>190</v>
      </c>
      <c r="G328" t="s">
        <v>366</v>
      </c>
      <c r="H328" t="s">
        <v>367</v>
      </c>
      <c r="I328" t="s">
        <v>360</v>
      </c>
      <c r="J328">
        <v>0</v>
      </c>
      <c r="K328">
        <v>189</v>
      </c>
      <c r="L328">
        <v>15502</v>
      </c>
      <c r="M328" t="str">
        <f t="shared" si="10"/>
        <v>Other</v>
      </c>
      <c r="N328" t="str">
        <f t="shared" si="11"/>
        <v>June</v>
      </c>
    </row>
    <row r="329" spans="1:14" x14ac:dyDescent="0.3">
      <c r="A329">
        <v>11</v>
      </c>
      <c r="B329">
        <v>2019</v>
      </c>
      <c r="C329" t="s">
        <v>42</v>
      </c>
      <c r="D329">
        <v>33</v>
      </c>
      <c r="E329" t="s">
        <v>111</v>
      </c>
      <c r="F329" t="s">
        <v>105</v>
      </c>
      <c r="G329" t="s">
        <v>519</v>
      </c>
      <c r="H329" t="s">
        <v>520</v>
      </c>
      <c r="I329" t="s">
        <v>360</v>
      </c>
      <c r="J329">
        <v>0</v>
      </c>
      <c r="K329">
        <v>4050</v>
      </c>
      <c r="L329">
        <v>289347</v>
      </c>
      <c r="M329" t="str">
        <f t="shared" si="10"/>
        <v>Air Port</v>
      </c>
      <c r="N329" t="str">
        <f t="shared" si="11"/>
        <v>November</v>
      </c>
    </row>
    <row r="330" spans="1:14" x14ac:dyDescent="0.3">
      <c r="A330">
        <v>12</v>
      </c>
      <c r="B330">
        <v>2021</v>
      </c>
      <c r="C330" t="s">
        <v>275</v>
      </c>
      <c r="D330">
        <v>28</v>
      </c>
      <c r="E330" t="s">
        <v>516</v>
      </c>
      <c r="F330" t="s">
        <v>35</v>
      </c>
      <c r="G330" t="s">
        <v>438</v>
      </c>
      <c r="H330" t="s">
        <v>439</v>
      </c>
      <c r="I330" t="s">
        <v>365</v>
      </c>
      <c r="J330">
        <v>0</v>
      </c>
      <c r="K330">
        <v>261</v>
      </c>
      <c r="L330">
        <v>19650</v>
      </c>
      <c r="M330" t="str">
        <f t="shared" si="10"/>
        <v>SEZ / Industrial Zone</v>
      </c>
      <c r="N330" t="str">
        <f t="shared" si="11"/>
        <v>December</v>
      </c>
    </row>
    <row r="331" spans="1:14" x14ac:dyDescent="0.3">
      <c r="A331">
        <v>6</v>
      </c>
      <c r="B331">
        <v>2018</v>
      </c>
      <c r="C331" t="s">
        <v>132</v>
      </c>
      <c r="D331">
        <v>19</v>
      </c>
      <c r="E331" t="s">
        <v>133</v>
      </c>
      <c r="F331" t="s">
        <v>108</v>
      </c>
      <c r="G331" t="s">
        <v>421</v>
      </c>
      <c r="H331" t="s">
        <v>422</v>
      </c>
      <c r="I331" t="s">
        <v>360</v>
      </c>
      <c r="J331">
        <v>0</v>
      </c>
      <c r="K331">
        <v>2089</v>
      </c>
      <c r="L331">
        <v>141606</v>
      </c>
      <c r="M331" t="str">
        <f t="shared" si="10"/>
        <v>Air Port</v>
      </c>
      <c r="N331" t="str">
        <f t="shared" si="11"/>
        <v>June</v>
      </c>
    </row>
    <row r="332" spans="1:14" x14ac:dyDescent="0.3">
      <c r="A332">
        <v>10</v>
      </c>
      <c r="B332">
        <v>2019</v>
      </c>
      <c r="C332" t="s">
        <v>58</v>
      </c>
      <c r="D332">
        <v>27</v>
      </c>
      <c r="E332" t="s">
        <v>59</v>
      </c>
      <c r="F332" t="s">
        <v>131</v>
      </c>
      <c r="G332" t="s">
        <v>521</v>
      </c>
      <c r="H332" t="s">
        <v>522</v>
      </c>
      <c r="I332" t="s">
        <v>360</v>
      </c>
      <c r="J332">
        <v>0</v>
      </c>
      <c r="K332">
        <v>2075</v>
      </c>
      <c r="L332">
        <v>147414</v>
      </c>
      <c r="M332" t="str">
        <f t="shared" si="10"/>
        <v>Sea Port</v>
      </c>
      <c r="N332" t="str">
        <f t="shared" si="11"/>
        <v>October</v>
      </c>
    </row>
    <row r="333" spans="1:14" x14ac:dyDescent="0.3">
      <c r="A333">
        <v>2</v>
      </c>
      <c r="B333">
        <v>2022</v>
      </c>
      <c r="C333" t="s">
        <v>58</v>
      </c>
      <c r="D333">
        <v>27</v>
      </c>
      <c r="E333" t="s">
        <v>125</v>
      </c>
      <c r="F333" t="s">
        <v>432</v>
      </c>
      <c r="G333" t="s">
        <v>366</v>
      </c>
      <c r="H333" t="s">
        <v>367</v>
      </c>
      <c r="I333" t="s">
        <v>360</v>
      </c>
      <c r="J333">
        <v>0</v>
      </c>
      <c r="K333">
        <v>20</v>
      </c>
      <c r="L333">
        <v>1521</v>
      </c>
      <c r="M333" t="str">
        <f t="shared" si="10"/>
        <v>Air Port</v>
      </c>
      <c r="N333" t="str">
        <f t="shared" si="11"/>
        <v>February</v>
      </c>
    </row>
    <row r="334" spans="1:14" x14ac:dyDescent="0.3">
      <c r="A334">
        <v>2</v>
      </c>
      <c r="B334">
        <v>2022</v>
      </c>
      <c r="C334" t="s">
        <v>42</v>
      </c>
      <c r="D334">
        <v>33</v>
      </c>
      <c r="E334" t="s">
        <v>111</v>
      </c>
      <c r="F334" t="s">
        <v>190</v>
      </c>
      <c r="G334" t="s">
        <v>366</v>
      </c>
      <c r="H334" t="s">
        <v>367</v>
      </c>
      <c r="I334" t="s">
        <v>360</v>
      </c>
      <c r="J334">
        <v>0</v>
      </c>
      <c r="K334">
        <v>5454</v>
      </c>
      <c r="L334">
        <v>409057</v>
      </c>
      <c r="M334" t="str">
        <f t="shared" si="10"/>
        <v>Air Port</v>
      </c>
      <c r="N334" t="str">
        <f t="shared" si="11"/>
        <v>February</v>
      </c>
    </row>
    <row r="335" spans="1:14" x14ac:dyDescent="0.3">
      <c r="A335">
        <v>7</v>
      </c>
      <c r="B335">
        <v>2022</v>
      </c>
      <c r="C335" t="s">
        <v>28</v>
      </c>
      <c r="D335">
        <v>29</v>
      </c>
      <c r="E335" t="s">
        <v>29</v>
      </c>
      <c r="F335" t="s">
        <v>263</v>
      </c>
      <c r="G335" t="s">
        <v>366</v>
      </c>
      <c r="H335" t="s">
        <v>367</v>
      </c>
      <c r="I335" t="s">
        <v>360</v>
      </c>
      <c r="J335">
        <v>0</v>
      </c>
      <c r="K335">
        <v>4</v>
      </c>
      <c r="L335">
        <v>291</v>
      </c>
      <c r="M335" t="str">
        <f t="shared" si="10"/>
        <v>Sea Port</v>
      </c>
      <c r="N335" t="str">
        <f t="shared" si="11"/>
        <v>July</v>
      </c>
    </row>
    <row r="336" spans="1:14" x14ac:dyDescent="0.3">
      <c r="A336">
        <v>7</v>
      </c>
      <c r="B336">
        <v>2020</v>
      </c>
      <c r="C336" t="s">
        <v>28</v>
      </c>
      <c r="D336">
        <v>29</v>
      </c>
      <c r="E336" t="s">
        <v>29</v>
      </c>
      <c r="F336" t="s">
        <v>263</v>
      </c>
      <c r="G336" t="s">
        <v>519</v>
      </c>
      <c r="H336" t="s">
        <v>520</v>
      </c>
      <c r="I336" t="s">
        <v>360</v>
      </c>
      <c r="J336">
        <v>0</v>
      </c>
      <c r="K336">
        <v>3771</v>
      </c>
      <c r="L336">
        <v>282783</v>
      </c>
      <c r="M336" t="str">
        <f t="shared" si="10"/>
        <v>Sea Port</v>
      </c>
      <c r="N336" t="str">
        <f t="shared" si="11"/>
        <v>July</v>
      </c>
    </row>
    <row r="337" spans="1:14" x14ac:dyDescent="0.3">
      <c r="A337">
        <v>12</v>
      </c>
      <c r="B337">
        <v>2021</v>
      </c>
      <c r="C337" t="s">
        <v>47</v>
      </c>
      <c r="D337">
        <v>7</v>
      </c>
      <c r="E337" t="s">
        <v>51</v>
      </c>
      <c r="F337" t="s">
        <v>30</v>
      </c>
      <c r="G337" t="s">
        <v>385</v>
      </c>
      <c r="H337" t="s">
        <v>386</v>
      </c>
      <c r="I337" t="s">
        <v>360</v>
      </c>
      <c r="J337">
        <v>0</v>
      </c>
      <c r="K337">
        <v>502</v>
      </c>
      <c r="L337">
        <v>37825</v>
      </c>
      <c r="M337" t="str">
        <f t="shared" si="10"/>
        <v>ICD / Dry Port</v>
      </c>
      <c r="N337" t="str">
        <f t="shared" si="11"/>
        <v>December</v>
      </c>
    </row>
    <row r="338" spans="1:14" x14ac:dyDescent="0.3">
      <c r="A338">
        <v>11</v>
      </c>
      <c r="B338">
        <v>2023</v>
      </c>
      <c r="C338" t="s">
        <v>23</v>
      </c>
      <c r="D338">
        <v>24</v>
      </c>
      <c r="E338" t="s">
        <v>199</v>
      </c>
      <c r="F338" t="s">
        <v>265</v>
      </c>
      <c r="G338" t="s">
        <v>366</v>
      </c>
      <c r="H338" t="s">
        <v>367</v>
      </c>
      <c r="I338" t="s">
        <v>360</v>
      </c>
      <c r="J338">
        <v>0</v>
      </c>
      <c r="K338">
        <v>30</v>
      </c>
      <c r="L338">
        <v>2523</v>
      </c>
      <c r="M338" t="str">
        <f t="shared" si="10"/>
        <v>SEZ / Industrial Zone</v>
      </c>
      <c r="N338" t="str">
        <f t="shared" si="11"/>
        <v>November</v>
      </c>
    </row>
    <row r="339" spans="1:14" x14ac:dyDescent="0.3">
      <c r="A339">
        <v>7</v>
      </c>
      <c r="B339">
        <v>2020</v>
      </c>
      <c r="C339" t="s">
        <v>33</v>
      </c>
      <c r="D339">
        <v>32</v>
      </c>
      <c r="E339" t="s">
        <v>34</v>
      </c>
      <c r="F339" t="s">
        <v>193</v>
      </c>
      <c r="G339" t="s">
        <v>398</v>
      </c>
      <c r="H339" t="s">
        <v>399</v>
      </c>
      <c r="I339" t="s">
        <v>360</v>
      </c>
      <c r="J339">
        <v>0</v>
      </c>
      <c r="K339">
        <v>489</v>
      </c>
      <c r="L339">
        <v>36689</v>
      </c>
      <c r="M339" t="str">
        <f t="shared" si="10"/>
        <v>Sea Port</v>
      </c>
      <c r="N339" t="str">
        <f t="shared" si="11"/>
        <v>July</v>
      </c>
    </row>
    <row r="340" spans="1:14" x14ac:dyDescent="0.3">
      <c r="A340">
        <v>11</v>
      </c>
      <c r="B340">
        <v>2018</v>
      </c>
      <c r="C340" t="s">
        <v>58</v>
      </c>
      <c r="D340">
        <v>27</v>
      </c>
      <c r="E340" t="s">
        <v>310</v>
      </c>
      <c r="F340" t="s">
        <v>35</v>
      </c>
      <c r="G340" t="s">
        <v>421</v>
      </c>
      <c r="H340" t="s">
        <v>422</v>
      </c>
      <c r="I340" t="s">
        <v>360</v>
      </c>
      <c r="J340">
        <v>0</v>
      </c>
      <c r="K340">
        <v>10405</v>
      </c>
      <c r="L340">
        <v>747608</v>
      </c>
      <c r="M340" t="str">
        <f t="shared" si="10"/>
        <v>SEZ / Industrial Zone</v>
      </c>
      <c r="N340" t="str">
        <f t="shared" si="11"/>
        <v>November</v>
      </c>
    </row>
    <row r="341" spans="1:14" x14ac:dyDescent="0.3">
      <c r="A341">
        <v>10</v>
      </c>
      <c r="B341">
        <v>2021</v>
      </c>
      <c r="C341" t="s">
        <v>137</v>
      </c>
      <c r="D341">
        <v>36</v>
      </c>
      <c r="E341" t="s">
        <v>523</v>
      </c>
      <c r="F341" t="s">
        <v>193</v>
      </c>
      <c r="G341" t="s">
        <v>519</v>
      </c>
      <c r="H341" t="s">
        <v>520</v>
      </c>
      <c r="I341" t="s">
        <v>360</v>
      </c>
      <c r="J341">
        <v>0</v>
      </c>
      <c r="K341">
        <v>30</v>
      </c>
      <c r="L341">
        <v>2261</v>
      </c>
      <c r="M341" t="str">
        <f t="shared" si="10"/>
        <v>SEZ / Industrial Zone</v>
      </c>
      <c r="N341" t="str">
        <f t="shared" si="11"/>
        <v>October</v>
      </c>
    </row>
    <row r="342" spans="1:14" x14ac:dyDescent="0.3">
      <c r="A342">
        <v>10</v>
      </c>
      <c r="B342">
        <v>2023</v>
      </c>
      <c r="C342" t="s">
        <v>47</v>
      </c>
      <c r="D342">
        <v>7</v>
      </c>
      <c r="E342" t="s">
        <v>51</v>
      </c>
      <c r="F342" t="s">
        <v>153</v>
      </c>
      <c r="G342" t="s">
        <v>358</v>
      </c>
      <c r="H342" t="s">
        <v>359</v>
      </c>
      <c r="I342" t="s">
        <v>360</v>
      </c>
      <c r="J342">
        <v>0</v>
      </c>
      <c r="K342">
        <v>824</v>
      </c>
      <c r="L342">
        <v>68579</v>
      </c>
      <c r="M342" t="str">
        <f t="shared" si="10"/>
        <v>ICD / Dry Port</v>
      </c>
      <c r="N342" t="str">
        <f t="shared" si="11"/>
        <v>October</v>
      </c>
    </row>
    <row r="343" spans="1:14" x14ac:dyDescent="0.3">
      <c r="A343">
        <v>6</v>
      </c>
      <c r="B343">
        <v>2020</v>
      </c>
      <c r="C343" t="s">
        <v>42</v>
      </c>
      <c r="D343">
        <v>33</v>
      </c>
      <c r="E343" t="s">
        <v>352</v>
      </c>
      <c r="F343" t="s">
        <v>105</v>
      </c>
      <c r="G343" t="s">
        <v>370</v>
      </c>
      <c r="H343" t="s">
        <v>371</v>
      </c>
      <c r="I343" t="s">
        <v>360</v>
      </c>
      <c r="J343">
        <v>0</v>
      </c>
      <c r="K343">
        <v>125</v>
      </c>
      <c r="L343">
        <v>9482</v>
      </c>
      <c r="M343" t="str">
        <f t="shared" si="10"/>
        <v>SEZ / Industrial Zone</v>
      </c>
      <c r="N343" t="str">
        <f t="shared" si="11"/>
        <v>June</v>
      </c>
    </row>
    <row r="344" spans="1:14" x14ac:dyDescent="0.3">
      <c r="A344">
        <v>1</v>
      </c>
      <c r="B344">
        <v>2021</v>
      </c>
      <c r="C344" t="s">
        <v>33</v>
      </c>
      <c r="D344">
        <v>32</v>
      </c>
      <c r="E344" t="s">
        <v>34</v>
      </c>
      <c r="F344" t="s">
        <v>131</v>
      </c>
      <c r="G344" t="s">
        <v>358</v>
      </c>
      <c r="H344" t="s">
        <v>359</v>
      </c>
      <c r="I344" t="s">
        <v>360</v>
      </c>
      <c r="J344">
        <v>0</v>
      </c>
      <c r="K344">
        <v>1787</v>
      </c>
      <c r="L344">
        <v>130615</v>
      </c>
      <c r="M344" t="str">
        <f t="shared" si="10"/>
        <v>Sea Port</v>
      </c>
      <c r="N344" t="str">
        <f t="shared" si="11"/>
        <v>January</v>
      </c>
    </row>
    <row r="345" spans="1:14" x14ac:dyDescent="0.3">
      <c r="A345">
        <v>4</v>
      </c>
      <c r="B345">
        <v>2018</v>
      </c>
      <c r="C345" t="s">
        <v>275</v>
      </c>
      <c r="D345">
        <v>28</v>
      </c>
      <c r="E345" t="s">
        <v>574</v>
      </c>
      <c r="F345" t="s">
        <v>35</v>
      </c>
      <c r="G345" t="s">
        <v>421</v>
      </c>
      <c r="H345" t="s">
        <v>422</v>
      </c>
      <c r="I345" t="s">
        <v>360</v>
      </c>
      <c r="J345">
        <v>0</v>
      </c>
      <c r="K345">
        <v>2289</v>
      </c>
      <c r="L345">
        <v>150271</v>
      </c>
      <c r="M345" t="str">
        <f t="shared" si="10"/>
        <v>SEZ / Industrial Zone</v>
      </c>
      <c r="N345" t="str">
        <f t="shared" si="11"/>
        <v>April</v>
      </c>
    </row>
    <row r="346" spans="1:14" x14ac:dyDescent="0.3">
      <c r="A346">
        <v>12</v>
      </c>
      <c r="B346">
        <v>2022</v>
      </c>
      <c r="C346" t="s">
        <v>42</v>
      </c>
      <c r="D346">
        <v>33</v>
      </c>
      <c r="E346" t="s">
        <v>111</v>
      </c>
      <c r="F346" t="s">
        <v>508</v>
      </c>
      <c r="G346" t="s">
        <v>375</v>
      </c>
      <c r="H346" t="s">
        <v>376</v>
      </c>
      <c r="I346" t="s">
        <v>365</v>
      </c>
      <c r="J346">
        <v>0</v>
      </c>
      <c r="K346">
        <v>13</v>
      </c>
      <c r="L346">
        <v>1065</v>
      </c>
      <c r="M346" t="str">
        <f t="shared" si="10"/>
        <v>Air Port</v>
      </c>
      <c r="N346" t="str">
        <f t="shared" si="11"/>
        <v>December</v>
      </c>
    </row>
    <row r="347" spans="1:14" x14ac:dyDescent="0.3">
      <c r="A347">
        <v>12</v>
      </c>
      <c r="B347">
        <v>2018</v>
      </c>
      <c r="C347" t="s">
        <v>42</v>
      </c>
      <c r="D347">
        <v>33</v>
      </c>
      <c r="E347" t="s">
        <v>111</v>
      </c>
      <c r="F347" t="s">
        <v>251</v>
      </c>
      <c r="G347" t="s">
        <v>398</v>
      </c>
      <c r="H347" t="s">
        <v>399</v>
      </c>
      <c r="I347" t="s">
        <v>360</v>
      </c>
      <c r="J347">
        <v>0</v>
      </c>
      <c r="K347">
        <v>5776</v>
      </c>
      <c r="L347">
        <v>408523</v>
      </c>
      <c r="M347" t="str">
        <f t="shared" si="10"/>
        <v>Air Port</v>
      </c>
      <c r="N347" t="str">
        <f t="shared" si="11"/>
        <v>December</v>
      </c>
    </row>
    <row r="348" spans="1:14" x14ac:dyDescent="0.3">
      <c r="A348">
        <v>7</v>
      </c>
      <c r="B348">
        <v>2019</v>
      </c>
      <c r="C348" t="s">
        <v>137</v>
      </c>
      <c r="D348">
        <v>36</v>
      </c>
      <c r="E348" t="s">
        <v>148</v>
      </c>
      <c r="F348" t="s">
        <v>234</v>
      </c>
      <c r="G348" t="s">
        <v>438</v>
      </c>
      <c r="H348" t="s">
        <v>439</v>
      </c>
      <c r="I348" t="s">
        <v>365</v>
      </c>
      <c r="J348">
        <v>0</v>
      </c>
      <c r="K348">
        <v>1520</v>
      </c>
      <c r="L348">
        <v>104616</v>
      </c>
      <c r="M348" t="str">
        <f t="shared" si="10"/>
        <v>Sea Port</v>
      </c>
      <c r="N348" t="str">
        <f t="shared" si="11"/>
        <v>July</v>
      </c>
    </row>
    <row r="349" spans="1:14" x14ac:dyDescent="0.3">
      <c r="A349">
        <v>9</v>
      </c>
      <c r="B349">
        <v>2019</v>
      </c>
      <c r="C349" t="s">
        <v>42</v>
      </c>
      <c r="D349">
        <v>33</v>
      </c>
      <c r="E349" t="s">
        <v>43</v>
      </c>
      <c r="F349" t="s">
        <v>30</v>
      </c>
      <c r="G349" t="s">
        <v>358</v>
      </c>
      <c r="H349" t="s">
        <v>359</v>
      </c>
      <c r="I349" t="s">
        <v>360</v>
      </c>
      <c r="J349">
        <v>651</v>
      </c>
      <c r="K349">
        <v>797099</v>
      </c>
      <c r="L349">
        <v>56860022</v>
      </c>
      <c r="M349" t="str">
        <f t="shared" si="10"/>
        <v>Sea Port</v>
      </c>
      <c r="N349" t="str">
        <f t="shared" si="11"/>
        <v>September</v>
      </c>
    </row>
    <row r="350" spans="1:14" x14ac:dyDescent="0.3">
      <c r="A350">
        <v>9</v>
      </c>
      <c r="B350">
        <v>2022</v>
      </c>
      <c r="C350" t="s">
        <v>58</v>
      </c>
      <c r="D350">
        <v>27</v>
      </c>
      <c r="E350" t="s">
        <v>59</v>
      </c>
      <c r="F350" t="s">
        <v>153</v>
      </c>
      <c r="G350" t="s">
        <v>358</v>
      </c>
      <c r="H350" t="s">
        <v>359</v>
      </c>
      <c r="I350" t="s">
        <v>360</v>
      </c>
      <c r="J350">
        <v>2380</v>
      </c>
      <c r="K350">
        <v>7102233</v>
      </c>
      <c r="L350">
        <v>569823492</v>
      </c>
      <c r="M350" t="str">
        <f t="shared" si="10"/>
        <v>Sea Port</v>
      </c>
      <c r="N350" t="str">
        <f t="shared" si="11"/>
        <v>September</v>
      </c>
    </row>
    <row r="351" spans="1:14" x14ac:dyDescent="0.3">
      <c r="A351">
        <v>3</v>
      </c>
      <c r="B351">
        <v>2019</v>
      </c>
      <c r="C351" t="s">
        <v>58</v>
      </c>
      <c r="D351">
        <v>27</v>
      </c>
      <c r="E351" t="s">
        <v>387</v>
      </c>
      <c r="F351" t="s">
        <v>241</v>
      </c>
      <c r="G351" t="s">
        <v>358</v>
      </c>
      <c r="H351" t="s">
        <v>359</v>
      </c>
      <c r="I351" t="s">
        <v>360</v>
      </c>
      <c r="J351">
        <v>20</v>
      </c>
      <c r="K351">
        <v>21842</v>
      </c>
      <c r="L351">
        <v>1517582</v>
      </c>
      <c r="M351" t="str">
        <f t="shared" si="10"/>
        <v>ICD / Dry Port</v>
      </c>
      <c r="N351" t="str">
        <f t="shared" si="11"/>
        <v>March</v>
      </c>
    </row>
    <row r="352" spans="1:14" x14ac:dyDescent="0.3">
      <c r="A352">
        <v>6</v>
      </c>
      <c r="B352">
        <v>2021</v>
      </c>
      <c r="C352" t="s">
        <v>42</v>
      </c>
      <c r="D352">
        <v>33</v>
      </c>
      <c r="E352" t="s">
        <v>43</v>
      </c>
      <c r="F352" t="s">
        <v>263</v>
      </c>
      <c r="G352" t="s">
        <v>408</v>
      </c>
      <c r="H352" t="s">
        <v>409</v>
      </c>
      <c r="I352" t="s">
        <v>410</v>
      </c>
      <c r="J352">
        <v>50</v>
      </c>
      <c r="K352">
        <v>2217</v>
      </c>
      <c r="L352">
        <v>163086</v>
      </c>
      <c r="M352" t="str">
        <f t="shared" si="10"/>
        <v>Sea Port</v>
      </c>
      <c r="N352" t="str">
        <f t="shared" si="11"/>
        <v>June</v>
      </c>
    </row>
    <row r="353" spans="1:14" x14ac:dyDescent="0.3">
      <c r="A353">
        <v>12</v>
      </c>
      <c r="B353">
        <v>2023</v>
      </c>
      <c r="C353" t="s">
        <v>132</v>
      </c>
      <c r="D353">
        <v>19</v>
      </c>
      <c r="E353" t="s">
        <v>590</v>
      </c>
      <c r="F353" t="s">
        <v>193</v>
      </c>
      <c r="G353" t="s">
        <v>358</v>
      </c>
      <c r="H353" t="s">
        <v>359</v>
      </c>
      <c r="I353" t="s">
        <v>360</v>
      </c>
      <c r="J353">
        <v>26</v>
      </c>
      <c r="K353">
        <v>1224744</v>
      </c>
      <c r="L353">
        <v>101995094</v>
      </c>
      <c r="M353" t="str">
        <f t="shared" si="10"/>
        <v>ICD / Dry Port</v>
      </c>
      <c r="N353" t="str">
        <f t="shared" si="11"/>
        <v>December</v>
      </c>
    </row>
    <row r="354" spans="1:14" x14ac:dyDescent="0.3">
      <c r="A354">
        <v>3</v>
      </c>
      <c r="B354">
        <v>2020</v>
      </c>
      <c r="C354" t="s">
        <v>47</v>
      </c>
      <c r="D354">
        <v>7</v>
      </c>
      <c r="E354" t="s">
        <v>48</v>
      </c>
      <c r="F354" t="s">
        <v>153</v>
      </c>
      <c r="G354" t="s">
        <v>398</v>
      </c>
      <c r="H354" t="s">
        <v>399</v>
      </c>
      <c r="I354" t="s">
        <v>360</v>
      </c>
      <c r="J354">
        <v>1</v>
      </c>
      <c r="K354">
        <v>4926</v>
      </c>
      <c r="L354">
        <v>366233</v>
      </c>
      <c r="M354" t="str">
        <f t="shared" si="10"/>
        <v>Air Port</v>
      </c>
      <c r="N354" t="str">
        <f t="shared" si="11"/>
        <v>March</v>
      </c>
    </row>
    <row r="355" spans="1:14" x14ac:dyDescent="0.3">
      <c r="A355">
        <v>6</v>
      </c>
      <c r="B355">
        <v>2018</v>
      </c>
      <c r="C355" t="s">
        <v>42</v>
      </c>
      <c r="D355">
        <v>33</v>
      </c>
      <c r="E355" t="s">
        <v>43</v>
      </c>
      <c r="F355" t="s">
        <v>68</v>
      </c>
      <c r="G355" t="s">
        <v>103</v>
      </c>
      <c r="H355" t="s">
        <v>104</v>
      </c>
      <c r="I355" t="s">
        <v>393</v>
      </c>
      <c r="J355">
        <v>3598</v>
      </c>
      <c r="K355">
        <v>90966</v>
      </c>
      <c r="L355">
        <v>6166845</v>
      </c>
      <c r="M355" t="str">
        <f t="shared" si="10"/>
        <v>Sea Port</v>
      </c>
      <c r="N355" t="str">
        <f t="shared" si="11"/>
        <v>June</v>
      </c>
    </row>
    <row r="356" spans="1:14" x14ac:dyDescent="0.3">
      <c r="A356">
        <v>10</v>
      </c>
      <c r="B356">
        <v>2021</v>
      </c>
      <c r="C356" t="s">
        <v>79</v>
      </c>
      <c r="D356">
        <v>9</v>
      </c>
      <c r="E356" t="s">
        <v>446</v>
      </c>
      <c r="F356" t="s">
        <v>35</v>
      </c>
      <c r="G356" t="s">
        <v>421</v>
      </c>
      <c r="H356" t="s">
        <v>422</v>
      </c>
      <c r="I356" t="s">
        <v>360</v>
      </c>
      <c r="J356">
        <v>513</v>
      </c>
      <c r="K356">
        <v>133022</v>
      </c>
      <c r="L356">
        <v>9965394</v>
      </c>
      <c r="M356" t="str">
        <f t="shared" si="10"/>
        <v>ICD / Dry Port</v>
      </c>
      <c r="N356" t="str">
        <f t="shared" si="11"/>
        <v>October</v>
      </c>
    </row>
    <row r="357" spans="1:14" x14ac:dyDescent="0.3">
      <c r="A357">
        <v>4</v>
      </c>
      <c r="B357">
        <v>2021</v>
      </c>
      <c r="C357" t="s">
        <v>42</v>
      </c>
      <c r="D357">
        <v>33</v>
      </c>
      <c r="E357" t="s">
        <v>223</v>
      </c>
      <c r="F357" t="s">
        <v>234</v>
      </c>
      <c r="G357" t="s">
        <v>421</v>
      </c>
      <c r="H357" t="s">
        <v>422</v>
      </c>
      <c r="I357" t="s">
        <v>360</v>
      </c>
      <c r="J357">
        <v>354</v>
      </c>
      <c r="K357">
        <v>461460</v>
      </c>
      <c r="L357">
        <v>34365942</v>
      </c>
      <c r="M357" t="str">
        <f t="shared" si="10"/>
        <v>Sea Port</v>
      </c>
      <c r="N357" t="str">
        <f t="shared" si="11"/>
        <v>April</v>
      </c>
    </row>
    <row r="358" spans="1:14" x14ac:dyDescent="0.3">
      <c r="A358">
        <v>2</v>
      </c>
      <c r="B358">
        <v>2020</v>
      </c>
      <c r="C358" t="s">
        <v>275</v>
      </c>
      <c r="D358">
        <v>28</v>
      </c>
      <c r="E358" t="s">
        <v>502</v>
      </c>
      <c r="F358" t="s">
        <v>35</v>
      </c>
      <c r="G358" t="s">
        <v>382</v>
      </c>
      <c r="H358" t="s">
        <v>383</v>
      </c>
      <c r="I358" t="s">
        <v>360</v>
      </c>
      <c r="J358">
        <v>73504</v>
      </c>
      <c r="K358">
        <v>6106004</v>
      </c>
      <c r="L358">
        <v>436509072</v>
      </c>
      <c r="M358" t="str">
        <f t="shared" si="10"/>
        <v>Other</v>
      </c>
      <c r="N358" t="str">
        <f t="shared" si="11"/>
        <v>February</v>
      </c>
    </row>
    <row r="359" spans="1:14" x14ac:dyDescent="0.3">
      <c r="A359">
        <v>4</v>
      </c>
      <c r="B359">
        <v>2021</v>
      </c>
      <c r="C359" t="s">
        <v>42</v>
      </c>
      <c r="D359">
        <v>33</v>
      </c>
      <c r="E359" t="s">
        <v>67</v>
      </c>
      <c r="F359" t="s">
        <v>263</v>
      </c>
      <c r="G359" t="s">
        <v>370</v>
      </c>
      <c r="H359" t="s">
        <v>371</v>
      </c>
      <c r="I359" t="s">
        <v>360</v>
      </c>
      <c r="J359">
        <v>218</v>
      </c>
      <c r="K359">
        <v>356389</v>
      </c>
      <c r="L359">
        <v>26541095</v>
      </c>
      <c r="M359" t="str">
        <f t="shared" si="10"/>
        <v>ICD / Dry Port</v>
      </c>
      <c r="N359" t="str">
        <f t="shared" si="11"/>
        <v>April</v>
      </c>
    </row>
    <row r="360" spans="1:14" x14ac:dyDescent="0.3">
      <c r="A360">
        <v>12</v>
      </c>
      <c r="B360">
        <v>2023</v>
      </c>
      <c r="C360" t="s">
        <v>58</v>
      </c>
      <c r="D360">
        <v>27</v>
      </c>
      <c r="E360" t="s">
        <v>59</v>
      </c>
      <c r="F360" t="s">
        <v>163</v>
      </c>
      <c r="G360" t="s">
        <v>361</v>
      </c>
      <c r="H360" t="s">
        <v>362</v>
      </c>
      <c r="I360" t="s">
        <v>360</v>
      </c>
      <c r="J360">
        <v>30</v>
      </c>
      <c r="K360">
        <v>181781</v>
      </c>
      <c r="L360">
        <v>15138493</v>
      </c>
      <c r="M360" t="str">
        <f t="shared" si="10"/>
        <v>Sea Port</v>
      </c>
      <c r="N360" t="str">
        <f t="shared" si="11"/>
        <v>December</v>
      </c>
    </row>
    <row r="361" spans="1:14" x14ac:dyDescent="0.3">
      <c r="A361">
        <v>10</v>
      </c>
      <c r="B361">
        <v>2021</v>
      </c>
      <c r="C361" t="s">
        <v>18</v>
      </c>
      <c r="D361">
        <v>6</v>
      </c>
      <c r="E361" t="s">
        <v>233</v>
      </c>
      <c r="F361" t="s">
        <v>237</v>
      </c>
      <c r="G361" t="s">
        <v>358</v>
      </c>
      <c r="H361" t="s">
        <v>359</v>
      </c>
      <c r="I361" t="s">
        <v>360</v>
      </c>
      <c r="J361">
        <v>24</v>
      </c>
      <c r="K361">
        <v>58169</v>
      </c>
      <c r="L361">
        <v>4357749</v>
      </c>
      <c r="M361" t="str">
        <f t="shared" si="10"/>
        <v>ICD / Dry Port</v>
      </c>
      <c r="N361" t="str">
        <f t="shared" si="11"/>
        <v>October</v>
      </c>
    </row>
    <row r="362" spans="1:14" x14ac:dyDescent="0.3">
      <c r="A362">
        <v>2</v>
      </c>
      <c r="B362">
        <v>2019</v>
      </c>
      <c r="C362" t="s">
        <v>79</v>
      </c>
      <c r="D362">
        <v>9</v>
      </c>
      <c r="E362" t="s">
        <v>337</v>
      </c>
      <c r="F362" t="s">
        <v>108</v>
      </c>
      <c r="G362" t="s">
        <v>421</v>
      </c>
      <c r="H362" t="s">
        <v>422</v>
      </c>
      <c r="I362" t="s">
        <v>360</v>
      </c>
      <c r="J362">
        <v>360</v>
      </c>
      <c r="K362">
        <v>351090</v>
      </c>
      <c r="L362">
        <v>25005251</v>
      </c>
      <c r="M362" t="str">
        <f t="shared" si="10"/>
        <v>ICD / Dry Port</v>
      </c>
      <c r="N362" t="str">
        <f t="shared" si="11"/>
        <v>February</v>
      </c>
    </row>
    <row r="363" spans="1:14" x14ac:dyDescent="0.3">
      <c r="A363">
        <v>5</v>
      </c>
      <c r="B363">
        <v>2018</v>
      </c>
      <c r="C363" t="s">
        <v>275</v>
      </c>
      <c r="D363">
        <v>28</v>
      </c>
      <c r="E363" t="s">
        <v>591</v>
      </c>
      <c r="F363" t="s">
        <v>515</v>
      </c>
      <c r="G363" t="s">
        <v>366</v>
      </c>
      <c r="H363" t="s">
        <v>367</v>
      </c>
      <c r="I363" t="s">
        <v>360</v>
      </c>
      <c r="J363">
        <v>11</v>
      </c>
      <c r="K363">
        <v>288164</v>
      </c>
      <c r="L363">
        <v>19462437</v>
      </c>
      <c r="M363" t="str">
        <f t="shared" si="10"/>
        <v>Other</v>
      </c>
      <c r="N363" t="str">
        <f t="shared" si="11"/>
        <v>May</v>
      </c>
    </row>
    <row r="364" spans="1:14" x14ac:dyDescent="0.3">
      <c r="A364">
        <v>3</v>
      </c>
      <c r="B364">
        <v>2019</v>
      </c>
      <c r="C364" t="s">
        <v>42</v>
      </c>
      <c r="D364">
        <v>33</v>
      </c>
      <c r="E364" t="s">
        <v>43</v>
      </c>
      <c r="F364" t="s">
        <v>105</v>
      </c>
      <c r="G364" t="s">
        <v>370</v>
      </c>
      <c r="H364" t="s">
        <v>371</v>
      </c>
      <c r="I364" t="s">
        <v>360</v>
      </c>
      <c r="J364">
        <v>682</v>
      </c>
      <c r="K364">
        <v>1545132</v>
      </c>
      <c r="L364">
        <v>107353627</v>
      </c>
      <c r="M364" t="str">
        <f t="shared" si="10"/>
        <v>Sea Port</v>
      </c>
      <c r="N364" t="str">
        <f t="shared" si="11"/>
        <v>March</v>
      </c>
    </row>
    <row r="365" spans="1:14" x14ac:dyDescent="0.3">
      <c r="A365">
        <v>5</v>
      </c>
      <c r="B365">
        <v>2020</v>
      </c>
      <c r="C365" t="s">
        <v>18</v>
      </c>
      <c r="D365">
        <v>6</v>
      </c>
      <c r="E365" t="s">
        <v>233</v>
      </c>
      <c r="F365" t="s">
        <v>294</v>
      </c>
      <c r="G365" t="s">
        <v>418</v>
      </c>
      <c r="H365" t="s">
        <v>419</v>
      </c>
      <c r="I365" t="s">
        <v>360</v>
      </c>
      <c r="J365">
        <v>26</v>
      </c>
      <c r="K365">
        <v>42723</v>
      </c>
      <c r="L365">
        <v>3232445</v>
      </c>
      <c r="M365" t="str">
        <f t="shared" si="10"/>
        <v>ICD / Dry Port</v>
      </c>
      <c r="N365" t="str">
        <f t="shared" si="11"/>
        <v>May</v>
      </c>
    </row>
    <row r="366" spans="1:14" x14ac:dyDescent="0.3">
      <c r="A366">
        <v>7</v>
      </c>
      <c r="B366">
        <v>2018</v>
      </c>
      <c r="C366" t="s">
        <v>42</v>
      </c>
      <c r="D366">
        <v>33</v>
      </c>
      <c r="E366" t="s">
        <v>111</v>
      </c>
      <c r="F366" t="s">
        <v>131</v>
      </c>
      <c r="G366" t="s">
        <v>103</v>
      </c>
      <c r="H366" t="s">
        <v>104</v>
      </c>
      <c r="I366" t="s">
        <v>393</v>
      </c>
      <c r="J366">
        <v>4</v>
      </c>
      <c r="K366">
        <v>702</v>
      </c>
      <c r="L366">
        <v>48208</v>
      </c>
      <c r="M366" t="str">
        <f t="shared" si="10"/>
        <v>Air Port</v>
      </c>
      <c r="N366" t="str">
        <f t="shared" si="11"/>
        <v>July</v>
      </c>
    </row>
    <row r="367" spans="1:14" x14ac:dyDescent="0.3">
      <c r="A367">
        <v>11</v>
      </c>
      <c r="B367">
        <v>2022</v>
      </c>
      <c r="C367" t="s">
        <v>73</v>
      </c>
      <c r="D367">
        <v>3</v>
      </c>
      <c r="E367" t="s">
        <v>314</v>
      </c>
      <c r="F367" t="s">
        <v>149</v>
      </c>
      <c r="G367" t="s">
        <v>358</v>
      </c>
      <c r="H367" t="s">
        <v>359</v>
      </c>
      <c r="I367" t="s">
        <v>360</v>
      </c>
      <c r="J367">
        <v>71</v>
      </c>
      <c r="K367">
        <v>34385</v>
      </c>
      <c r="L367">
        <v>2813017</v>
      </c>
      <c r="M367" t="str">
        <f t="shared" si="10"/>
        <v>ICD / Dry Port</v>
      </c>
      <c r="N367" t="str">
        <f t="shared" si="11"/>
        <v>November</v>
      </c>
    </row>
    <row r="368" spans="1:14" x14ac:dyDescent="0.3">
      <c r="A368">
        <v>2</v>
      </c>
      <c r="B368">
        <v>2019</v>
      </c>
      <c r="C368" t="s">
        <v>42</v>
      </c>
      <c r="D368">
        <v>33</v>
      </c>
      <c r="E368" t="s">
        <v>43</v>
      </c>
      <c r="F368" t="s">
        <v>118</v>
      </c>
      <c r="G368" t="s">
        <v>592</v>
      </c>
      <c r="H368" t="s">
        <v>593</v>
      </c>
      <c r="I368" t="s">
        <v>360</v>
      </c>
      <c r="J368">
        <v>25</v>
      </c>
      <c r="K368">
        <v>16545</v>
      </c>
      <c r="L368">
        <v>1178390</v>
      </c>
      <c r="M368" t="str">
        <f t="shared" si="10"/>
        <v>Sea Port</v>
      </c>
      <c r="N368" t="str">
        <f t="shared" si="11"/>
        <v>February</v>
      </c>
    </row>
    <row r="369" spans="1:14" x14ac:dyDescent="0.3">
      <c r="A369">
        <v>12</v>
      </c>
      <c r="B369">
        <v>2022</v>
      </c>
      <c r="C369" t="s">
        <v>23</v>
      </c>
      <c r="D369">
        <v>24</v>
      </c>
      <c r="E369" t="s">
        <v>38</v>
      </c>
      <c r="F369" t="s">
        <v>153</v>
      </c>
      <c r="G369" t="s">
        <v>370</v>
      </c>
      <c r="H369" t="s">
        <v>371</v>
      </c>
      <c r="I369" t="s">
        <v>360</v>
      </c>
      <c r="J369">
        <v>326</v>
      </c>
      <c r="K369">
        <v>728039</v>
      </c>
      <c r="L369">
        <v>60037130</v>
      </c>
      <c r="M369" t="str">
        <f t="shared" si="10"/>
        <v>ICD / Dry Port</v>
      </c>
      <c r="N369" t="str">
        <f t="shared" si="11"/>
        <v>December</v>
      </c>
    </row>
    <row r="370" spans="1:14" x14ac:dyDescent="0.3">
      <c r="A370">
        <v>10</v>
      </c>
      <c r="B370">
        <v>2023</v>
      </c>
      <c r="C370" t="s">
        <v>12</v>
      </c>
      <c r="D370">
        <v>8</v>
      </c>
      <c r="E370" t="s">
        <v>165</v>
      </c>
      <c r="F370" t="s">
        <v>529</v>
      </c>
      <c r="G370" t="s">
        <v>530</v>
      </c>
      <c r="H370" t="s">
        <v>531</v>
      </c>
      <c r="I370" t="s">
        <v>360</v>
      </c>
      <c r="J370">
        <v>47</v>
      </c>
      <c r="K370">
        <v>122706</v>
      </c>
      <c r="L370">
        <v>10213460</v>
      </c>
      <c r="M370" t="str">
        <f t="shared" si="10"/>
        <v>ICD / Dry Port</v>
      </c>
      <c r="N370" t="str">
        <f t="shared" si="11"/>
        <v>October</v>
      </c>
    </row>
    <row r="371" spans="1:14" x14ac:dyDescent="0.3">
      <c r="A371">
        <v>2</v>
      </c>
      <c r="B371">
        <v>2020</v>
      </c>
      <c r="C371" t="s">
        <v>18</v>
      </c>
      <c r="D371">
        <v>6</v>
      </c>
      <c r="E371" t="s">
        <v>233</v>
      </c>
      <c r="F371" t="s">
        <v>142</v>
      </c>
      <c r="G371" t="s">
        <v>421</v>
      </c>
      <c r="H371" t="s">
        <v>422</v>
      </c>
      <c r="I371" t="s">
        <v>360</v>
      </c>
      <c r="J371">
        <v>25</v>
      </c>
      <c r="K371">
        <v>25550</v>
      </c>
      <c r="L371">
        <v>1826538</v>
      </c>
      <c r="M371" t="str">
        <f t="shared" si="10"/>
        <v>ICD / Dry Port</v>
      </c>
      <c r="N371" t="str">
        <f t="shared" si="11"/>
        <v>February</v>
      </c>
    </row>
    <row r="372" spans="1:14" x14ac:dyDescent="0.3">
      <c r="A372">
        <v>12</v>
      </c>
      <c r="B372">
        <v>2022</v>
      </c>
      <c r="C372" t="s">
        <v>42</v>
      </c>
      <c r="D372">
        <v>33</v>
      </c>
      <c r="E372" t="s">
        <v>111</v>
      </c>
      <c r="F372" t="s">
        <v>237</v>
      </c>
      <c r="G372" t="s">
        <v>370</v>
      </c>
      <c r="H372" t="s">
        <v>371</v>
      </c>
      <c r="I372" t="s">
        <v>360</v>
      </c>
      <c r="J372">
        <v>1</v>
      </c>
      <c r="K372">
        <v>301143</v>
      </c>
      <c r="L372">
        <v>24833584</v>
      </c>
      <c r="M372" t="str">
        <f t="shared" si="10"/>
        <v>Air Port</v>
      </c>
      <c r="N372" t="str">
        <f t="shared" si="11"/>
        <v>December</v>
      </c>
    </row>
    <row r="373" spans="1:14" x14ac:dyDescent="0.3">
      <c r="A373">
        <v>2</v>
      </c>
      <c r="B373">
        <v>2018</v>
      </c>
      <c r="C373" t="s">
        <v>18</v>
      </c>
      <c r="D373">
        <v>6</v>
      </c>
      <c r="E373" t="s">
        <v>166</v>
      </c>
      <c r="F373" t="s">
        <v>20</v>
      </c>
      <c r="G373" t="s">
        <v>103</v>
      </c>
      <c r="H373" t="s">
        <v>104</v>
      </c>
      <c r="I373" t="s">
        <v>393</v>
      </c>
      <c r="J373">
        <v>536</v>
      </c>
      <c r="K373">
        <v>75530</v>
      </c>
      <c r="L373">
        <v>4862153</v>
      </c>
      <c r="M373" t="str">
        <f t="shared" si="10"/>
        <v>ICD / Dry Port</v>
      </c>
      <c r="N373" t="str">
        <f t="shared" si="11"/>
        <v>February</v>
      </c>
    </row>
    <row r="374" spans="1:14" x14ac:dyDescent="0.3">
      <c r="A374">
        <v>3</v>
      </c>
      <c r="B374">
        <v>2019</v>
      </c>
      <c r="C374" t="s">
        <v>132</v>
      </c>
      <c r="D374">
        <v>19</v>
      </c>
      <c r="E374" t="s">
        <v>209</v>
      </c>
      <c r="F374" t="s">
        <v>193</v>
      </c>
      <c r="G374" t="s">
        <v>358</v>
      </c>
      <c r="H374" t="s">
        <v>359</v>
      </c>
      <c r="I374" t="s">
        <v>360</v>
      </c>
      <c r="J374">
        <v>609</v>
      </c>
      <c r="K374">
        <v>739609</v>
      </c>
      <c r="L374">
        <v>51386985</v>
      </c>
      <c r="M374" t="str">
        <f t="shared" si="10"/>
        <v>Sea Port</v>
      </c>
      <c r="N374" t="str">
        <f t="shared" si="11"/>
        <v>March</v>
      </c>
    </row>
    <row r="375" spans="1:14" x14ac:dyDescent="0.3">
      <c r="A375">
        <v>3</v>
      </c>
      <c r="B375">
        <v>2020</v>
      </c>
      <c r="C375" t="s">
        <v>18</v>
      </c>
      <c r="D375">
        <v>6</v>
      </c>
      <c r="E375" t="s">
        <v>97</v>
      </c>
      <c r="F375" t="s">
        <v>251</v>
      </c>
      <c r="G375" t="s">
        <v>358</v>
      </c>
      <c r="H375" t="s">
        <v>359</v>
      </c>
      <c r="I375" t="s">
        <v>360</v>
      </c>
      <c r="J375">
        <v>25</v>
      </c>
      <c r="K375">
        <v>58574</v>
      </c>
      <c r="L375">
        <v>4355024</v>
      </c>
      <c r="M375" t="str">
        <f t="shared" si="10"/>
        <v>ICD / Dry Port</v>
      </c>
      <c r="N375" t="str">
        <f t="shared" si="11"/>
        <v>March</v>
      </c>
    </row>
    <row r="376" spans="1:14" x14ac:dyDescent="0.3">
      <c r="A376">
        <v>10</v>
      </c>
      <c r="B376">
        <v>2019</v>
      </c>
      <c r="C376" t="s">
        <v>58</v>
      </c>
      <c r="D376">
        <v>27</v>
      </c>
      <c r="E376" t="s">
        <v>533</v>
      </c>
      <c r="F376" t="s">
        <v>131</v>
      </c>
      <c r="G376" t="s">
        <v>358</v>
      </c>
      <c r="H376" t="s">
        <v>359</v>
      </c>
      <c r="I376" t="s">
        <v>360</v>
      </c>
      <c r="J376">
        <v>156</v>
      </c>
      <c r="K376">
        <v>231303</v>
      </c>
      <c r="L376">
        <v>16431604</v>
      </c>
      <c r="M376" t="str">
        <f t="shared" si="10"/>
        <v>Sea Port</v>
      </c>
      <c r="N376" t="str">
        <f t="shared" si="11"/>
        <v>October</v>
      </c>
    </row>
    <row r="377" spans="1:14" x14ac:dyDescent="0.3">
      <c r="A377">
        <v>2</v>
      </c>
      <c r="B377">
        <v>2024</v>
      </c>
      <c r="C377" t="s">
        <v>58</v>
      </c>
      <c r="D377">
        <v>27</v>
      </c>
      <c r="E377" t="s">
        <v>594</v>
      </c>
      <c r="F377" t="s">
        <v>76</v>
      </c>
      <c r="G377" t="s">
        <v>398</v>
      </c>
      <c r="H377" t="s">
        <v>399</v>
      </c>
      <c r="I377" t="s">
        <v>360</v>
      </c>
      <c r="J377">
        <v>5991</v>
      </c>
      <c r="K377">
        <v>2097819</v>
      </c>
      <c r="L377">
        <v>174042622</v>
      </c>
      <c r="M377" t="str">
        <f t="shared" si="10"/>
        <v>Sea Port</v>
      </c>
      <c r="N377" t="str">
        <f t="shared" si="11"/>
        <v>February</v>
      </c>
    </row>
    <row r="378" spans="1:14" x14ac:dyDescent="0.3">
      <c r="A378">
        <v>12</v>
      </c>
      <c r="B378">
        <v>2022</v>
      </c>
      <c r="C378" t="s">
        <v>137</v>
      </c>
      <c r="D378">
        <v>36</v>
      </c>
      <c r="E378" t="s">
        <v>148</v>
      </c>
      <c r="F378" t="s">
        <v>190</v>
      </c>
      <c r="G378" t="s">
        <v>408</v>
      </c>
      <c r="H378" t="s">
        <v>409</v>
      </c>
      <c r="I378" t="s">
        <v>410</v>
      </c>
      <c r="J378">
        <v>600</v>
      </c>
      <c r="K378">
        <v>15767</v>
      </c>
      <c r="L378">
        <v>1300225</v>
      </c>
      <c r="M378" t="str">
        <f t="shared" si="10"/>
        <v>Sea Port</v>
      </c>
      <c r="N378" t="str">
        <f t="shared" si="11"/>
        <v>December</v>
      </c>
    </row>
    <row r="379" spans="1:14" x14ac:dyDescent="0.3">
      <c r="A379">
        <v>12</v>
      </c>
      <c r="B379">
        <v>2022</v>
      </c>
      <c r="C379" t="s">
        <v>63</v>
      </c>
      <c r="D379">
        <v>23</v>
      </c>
      <c r="E379" t="s">
        <v>595</v>
      </c>
      <c r="F379" t="s">
        <v>186</v>
      </c>
      <c r="G379" t="s">
        <v>358</v>
      </c>
      <c r="H379" t="s">
        <v>359</v>
      </c>
      <c r="I379" t="s">
        <v>360</v>
      </c>
      <c r="J379">
        <v>344</v>
      </c>
      <c r="K379">
        <v>162952</v>
      </c>
      <c r="L379">
        <v>13437733</v>
      </c>
      <c r="M379" t="str">
        <f t="shared" si="10"/>
        <v>ICD / Dry Port</v>
      </c>
      <c r="N379" t="str">
        <f t="shared" si="11"/>
        <v>December</v>
      </c>
    </row>
    <row r="380" spans="1:14" x14ac:dyDescent="0.3">
      <c r="A380">
        <v>10</v>
      </c>
      <c r="B380">
        <v>2019</v>
      </c>
      <c r="C380" t="s">
        <v>58</v>
      </c>
      <c r="D380">
        <v>27</v>
      </c>
      <c r="E380" t="s">
        <v>59</v>
      </c>
      <c r="F380" t="s">
        <v>350</v>
      </c>
      <c r="G380" t="s">
        <v>370</v>
      </c>
      <c r="H380" t="s">
        <v>371</v>
      </c>
      <c r="I380" t="s">
        <v>360</v>
      </c>
      <c r="J380">
        <v>9</v>
      </c>
      <c r="K380">
        <v>612355</v>
      </c>
      <c r="L380">
        <v>43501364</v>
      </c>
      <c r="M380" t="str">
        <f t="shared" si="10"/>
        <v>Sea Port</v>
      </c>
      <c r="N380" t="str">
        <f t="shared" si="11"/>
        <v>October</v>
      </c>
    </row>
    <row r="381" spans="1:14" x14ac:dyDescent="0.3">
      <c r="A381">
        <v>10</v>
      </c>
      <c r="B381">
        <v>2018</v>
      </c>
      <c r="C381" t="s">
        <v>23</v>
      </c>
      <c r="D381">
        <v>24</v>
      </c>
      <c r="E381" t="s">
        <v>24</v>
      </c>
      <c r="F381" t="s">
        <v>89</v>
      </c>
      <c r="G381" t="s">
        <v>418</v>
      </c>
      <c r="H381" t="s">
        <v>419</v>
      </c>
      <c r="I381" t="s">
        <v>360</v>
      </c>
      <c r="J381">
        <v>41</v>
      </c>
      <c r="K381">
        <v>86012</v>
      </c>
      <c r="L381">
        <v>6333227</v>
      </c>
      <c r="M381" t="str">
        <f t="shared" si="10"/>
        <v>Other</v>
      </c>
      <c r="N381" t="str">
        <f t="shared" si="11"/>
        <v>October</v>
      </c>
    </row>
    <row r="382" spans="1:14" x14ac:dyDescent="0.3">
      <c r="A382">
        <v>5</v>
      </c>
      <c r="B382">
        <v>2018</v>
      </c>
      <c r="C382" t="s">
        <v>132</v>
      </c>
      <c r="D382">
        <v>19</v>
      </c>
      <c r="E382" t="s">
        <v>209</v>
      </c>
      <c r="F382" t="s">
        <v>108</v>
      </c>
      <c r="G382" t="s">
        <v>398</v>
      </c>
      <c r="H382" t="s">
        <v>399</v>
      </c>
      <c r="I382" t="s">
        <v>360</v>
      </c>
      <c r="J382">
        <v>1</v>
      </c>
      <c r="K382">
        <v>7393</v>
      </c>
      <c r="L382">
        <v>499300</v>
      </c>
      <c r="M382" t="str">
        <f t="shared" si="10"/>
        <v>Sea Port</v>
      </c>
      <c r="N382" t="str">
        <f t="shared" si="11"/>
        <v>May</v>
      </c>
    </row>
    <row r="383" spans="1:14" x14ac:dyDescent="0.3">
      <c r="A383">
        <v>6</v>
      </c>
      <c r="B383">
        <v>2021</v>
      </c>
      <c r="C383" t="s">
        <v>58</v>
      </c>
      <c r="D383">
        <v>27</v>
      </c>
      <c r="E383" t="s">
        <v>59</v>
      </c>
      <c r="F383" t="s">
        <v>164</v>
      </c>
      <c r="G383" t="s">
        <v>596</v>
      </c>
      <c r="H383" t="s">
        <v>597</v>
      </c>
      <c r="I383" t="s">
        <v>360</v>
      </c>
      <c r="J383">
        <v>7160</v>
      </c>
      <c r="K383">
        <v>6233799</v>
      </c>
      <c r="L383">
        <v>458547631</v>
      </c>
      <c r="M383" t="str">
        <f t="shared" si="10"/>
        <v>Sea Port</v>
      </c>
      <c r="N383" t="str">
        <f t="shared" si="11"/>
        <v>June</v>
      </c>
    </row>
    <row r="384" spans="1:14" x14ac:dyDescent="0.3">
      <c r="A384">
        <v>8</v>
      </c>
      <c r="B384">
        <v>2023</v>
      </c>
      <c r="C384" t="s">
        <v>323</v>
      </c>
      <c r="D384">
        <v>5</v>
      </c>
      <c r="E384" t="s">
        <v>598</v>
      </c>
      <c r="F384" t="s">
        <v>261</v>
      </c>
      <c r="G384" t="s">
        <v>421</v>
      </c>
      <c r="H384" t="s">
        <v>422</v>
      </c>
      <c r="I384" t="s">
        <v>360</v>
      </c>
      <c r="J384">
        <v>34</v>
      </c>
      <c r="K384">
        <v>14895</v>
      </c>
      <c r="L384">
        <v>1233121</v>
      </c>
      <c r="M384" t="str">
        <f t="shared" si="10"/>
        <v>ICD / Dry Port</v>
      </c>
      <c r="N384" t="str">
        <f t="shared" si="11"/>
        <v>August</v>
      </c>
    </row>
    <row r="385" spans="1:14" x14ac:dyDescent="0.3">
      <c r="A385">
        <v>4</v>
      </c>
      <c r="B385">
        <v>2024</v>
      </c>
      <c r="C385" t="s">
        <v>79</v>
      </c>
      <c r="D385">
        <v>9</v>
      </c>
      <c r="E385" t="s">
        <v>532</v>
      </c>
      <c r="F385" t="s">
        <v>105</v>
      </c>
      <c r="G385" t="s">
        <v>370</v>
      </c>
      <c r="H385" t="s">
        <v>371</v>
      </c>
      <c r="I385" t="s">
        <v>360</v>
      </c>
      <c r="J385">
        <v>263</v>
      </c>
      <c r="K385">
        <v>513989</v>
      </c>
      <c r="L385">
        <v>42869696</v>
      </c>
      <c r="M385" t="str">
        <f t="shared" si="10"/>
        <v>Other</v>
      </c>
      <c r="N385" t="str">
        <f t="shared" si="11"/>
        <v>April</v>
      </c>
    </row>
    <row r="386" spans="1:14" x14ac:dyDescent="0.3">
      <c r="A386">
        <v>12</v>
      </c>
      <c r="B386">
        <v>2018</v>
      </c>
      <c r="C386" t="s">
        <v>79</v>
      </c>
      <c r="D386">
        <v>9</v>
      </c>
      <c r="E386" t="s">
        <v>88</v>
      </c>
      <c r="F386" t="s">
        <v>44</v>
      </c>
      <c r="G386" t="s">
        <v>358</v>
      </c>
      <c r="H386" t="s">
        <v>359</v>
      </c>
      <c r="I386" t="s">
        <v>360</v>
      </c>
      <c r="J386">
        <v>28</v>
      </c>
      <c r="K386">
        <v>15804</v>
      </c>
      <c r="L386">
        <v>1117813</v>
      </c>
      <c r="M386" t="str">
        <f t="shared" ref="M386:M449" si="12">IF(OR(ISNUMBER(SEARCH("ICD",E386)),ISNUMBER(SEARCH("Dry Port",E386))),"ICD / Dry Port", IF(OR(ISNUMBER(SEARCH("Sea",E386)),ISNUMBER(SEARCH("Port",E386))),"Sea Port", IF(OR(ISNUMBER(SEARCH("Air",E386)),ISNUMBER(SEARCH("Airport",E386))),"Air Port", IF(ISNUMBER(SEARCH("CFS",E386)),"CFS", IF(OR(ISNUMBER(SEARCH("SEZ",E386)),ISNUMBER(SEARCH("EPZ",E386)),ISNUMBER(SEARCH("FTWZ",E386)),ISNUMBER(SEARCH("City",E386)),ISNUMBER(SEARCH("Park",E386))),"SEZ / Industrial Zone", IF(OR(ISNUMBER(SEARCH("Land",E386)),ISNUMBER(SEARCH("LCS",E386)),ISNUMBER(SEARCH("Rly",E386))),"Land Port", "Other"))))))</f>
        <v>CFS</v>
      </c>
      <c r="N386" t="str">
        <f t="shared" si="11"/>
        <v>December</v>
      </c>
    </row>
    <row r="387" spans="1:14" x14ac:dyDescent="0.3">
      <c r="A387">
        <v>5</v>
      </c>
      <c r="B387">
        <v>2020</v>
      </c>
      <c r="C387" t="s">
        <v>137</v>
      </c>
      <c r="D387">
        <v>36</v>
      </c>
      <c r="E387" t="s">
        <v>148</v>
      </c>
      <c r="F387" t="s">
        <v>35</v>
      </c>
      <c r="G387" t="s">
        <v>408</v>
      </c>
      <c r="H387" t="s">
        <v>409</v>
      </c>
      <c r="I387" t="s">
        <v>410</v>
      </c>
      <c r="J387">
        <v>840</v>
      </c>
      <c r="K387">
        <v>17553</v>
      </c>
      <c r="L387">
        <v>1328061</v>
      </c>
      <c r="M387" t="str">
        <f t="shared" si="12"/>
        <v>Sea Port</v>
      </c>
      <c r="N387" t="str">
        <f t="shared" ref="N387:N450" si="13">TEXT(DATE(2024, A387, 1), "mmmm")</f>
        <v>May</v>
      </c>
    </row>
    <row r="388" spans="1:14" x14ac:dyDescent="0.3">
      <c r="A388">
        <v>5</v>
      </c>
      <c r="B388">
        <v>2020</v>
      </c>
      <c r="C388" t="s">
        <v>58</v>
      </c>
      <c r="D388">
        <v>27</v>
      </c>
      <c r="E388" t="s">
        <v>287</v>
      </c>
      <c r="F388" t="s">
        <v>534</v>
      </c>
      <c r="G388" t="s">
        <v>535</v>
      </c>
      <c r="H388" t="s">
        <v>536</v>
      </c>
      <c r="I388" t="s">
        <v>360</v>
      </c>
      <c r="J388">
        <v>25</v>
      </c>
      <c r="K388">
        <v>19373</v>
      </c>
      <c r="L388">
        <v>1465752</v>
      </c>
      <c r="M388" t="str">
        <f t="shared" si="12"/>
        <v>ICD / Dry Port</v>
      </c>
      <c r="N388" t="str">
        <f t="shared" si="13"/>
        <v>May</v>
      </c>
    </row>
    <row r="389" spans="1:14" x14ac:dyDescent="0.3">
      <c r="A389">
        <v>10</v>
      </c>
      <c r="B389">
        <v>2020</v>
      </c>
      <c r="C389" t="s">
        <v>23</v>
      </c>
      <c r="D389">
        <v>24</v>
      </c>
      <c r="E389" t="s">
        <v>235</v>
      </c>
      <c r="F389" t="s">
        <v>131</v>
      </c>
      <c r="G389" t="s">
        <v>358</v>
      </c>
      <c r="H389" t="s">
        <v>359</v>
      </c>
      <c r="I389" t="s">
        <v>360</v>
      </c>
      <c r="J389">
        <v>70</v>
      </c>
      <c r="K389">
        <v>165493</v>
      </c>
      <c r="L389">
        <v>12156817</v>
      </c>
      <c r="M389" t="str">
        <f t="shared" si="12"/>
        <v>Sea Port</v>
      </c>
      <c r="N389" t="str">
        <f t="shared" si="13"/>
        <v>October</v>
      </c>
    </row>
    <row r="390" spans="1:14" x14ac:dyDescent="0.3">
      <c r="A390">
        <v>12</v>
      </c>
      <c r="B390">
        <v>2018</v>
      </c>
      <c r="C390" t="s">
        <v>79</v>
      </c>
      <c r="D390">
        <v>9</v>
      </c>
      <c r="E390" t="s">
        <v>537</v>
      </c>
      <c r="F390" t="s">
        <v>334</v>
      </c>
      <c r="G390" t="s">
        <v>370</v>
      </c>
      <c r="H390" t="s">
        <v>371</v>
      </c>
      <c r="I390" t="s">
        <v>360</v>
      </c>
      <c r="J390">
        <v>114</v>
      </c>
      <c r="K390">
        <v>289500</v>
      </c>
      <c r="L390">
        <v>20476627</v>
      </c>
      <c r="M390" t="str">
        <f t="shared" si="12"/>
        <v>SEZ / Industrial Zone</v>
      </c>
      <c r="N390" t="str">
        <f t="shared" si="13"/>
        <v>December</v>
      </c>
    </row>
    <row r="391" spans="1:14" x14ac:dyDescent="0.3">
      <c r="A391">
        <v>12</v>
      </c>
      <c r="B391">
        <v>2021</v>
      </c>
      <c r="C391" t="s">
        <v>18</v>
      </c>
      <c r="D391">
        <v>6</v>
      </c>
      <c r="E391" t="s">
        <v>19</v>
      </c>
      <c r="F391" t="s">
        <v>142</v>
      </c>
      <c r="G391" t="s">
        <v>421</v>
      </c>
      <c r="H391" t="s">
        <v>422</v>
      </c>
      <c r="I391" t="s">
        <v>360</v>
      </c>
      <c r="J391">
        <v>542</v>
      </c>
      <c r="K391">
        <v>1273912</v>
      </c>
      <c r="L391">
        <v>96017898</v>
      </c>
      <c r="M391" t="str">
        <f t="shared" si="12"/>
        <v>ICD / Dry Port</v>
      </c>
      <c r="N391" t="str">
        <f t="shared" si="13"/>
        <v>December</v>
      </c>
    </row>
    <row r="392" spans="1:14" x14ac:dyDescent="0.3">
      <c r="A392">
        <v>7</v>
      </c>
      <c r="B392">
        <v>2019</v>
      </c>
      <c r="C392" t="s">
        <v>58</v>
      </c>
      <c r="D392">
        <v>27</v>
      </c>
      <c r="E392" t="s">
        <v>59</v>
      </c>
      <c r="F392" t="s">
        <v>153</v>
      </c>
      <c r="G392" t="s">
        <v>398</v>
      </c>
      <c r="H392" t="s">
        <v>399</v>
      </c>
      <c r="I392" t="s">
        <v>360</v>
      </c>
      <c r="J392">
        <v>350</v>
      </c>
      <c r="K392">
        <v>850449</v>
      </c>
      <c r="L392">
        <v>58517963</v>
      </c>
      <c r="M392" t="str">
        <f t="shared" si="12"/>
        <v>Sea Port</v>
      </c>
      <c r="N392" t="str">
        <f t="shared" si="13"/>
        <v>July</v>
      </c>
    </row>
    <row r="393" spans="1:14" x14ac:dyDescent="0.3">
      <c r="A393">
        <v>3</v>
      </c>
      <c r="B393">
        <v>2018</v>
      </c>
      <c r="C393" t="s">
        <v>33</v>
      </c>
      <c r="D393">
        <v>32</v>
      </c>
      <c r="E393" t="s">
        <v>214</v>
      </c>
      <c r="F393" t="s">
        <v>90</v>
      </c>
      <c r="G393" t="s">
        <v>395</v>
      </c>
      <c r="H393" t="s">
        <v>599</v>
      </c>
      <c r="I393" t="s">
        <v>393</v>
      </c>
      <c r="J393">
        <v>3</v>
      </c>
      <c r="K393">
        <v>22871</v>
      </c>
      <c r="L393">
        <v>1487132</v>
      </c>
      <c r="M393" t="str">
        <f t="shared" si="12"/>
        <v>Sea Port</v>
      </c>
      <c r="N393" t="str">
        <f t="shared" si="13"/>
        <v>March</v>
      </c>
    </row>
    <row r="394" spans="1:14" x14ac:dyDescent="0.3">
      <c r="A394">
        <v>12</v>
      </c>
      <c r="B394">
        <v>2019</v>
      </c>
      <c r="C394" t="s">
        <v>47</v>
      </c>
      <c r="D394">
        <v>7</v>
      </c>
      <c r="E394" t="s">
        <v>51</v>
      </c>
      <c r="F394" t="s">
        <v>108</v>
      </c>
      <c r="G394" t="s">
        <v>358</v>
      </c>
      <c r="H394" t="s">
        <v>359</v>
      </c>
      <c r="I394" t="s">
        <v>360</v>
      </c>
      <c r="J394">
        <v>579</v>
      </c>
      <c r="K394">
        <v>661847</v>
      </c>
      <c r="L394">
        <v>47118619</v>
      </c>
      <c r="M394" t="str">
        <f t="shared" si="12"/>
        <v>ICD / Dry Port</v>
      </c>
      <c r="N394" t="str">
        <f t="shared" si="13"/>
        <v>December</v>
      </c>
    </row>
    <row r="395" spans="1:14" x14ac:dyDescent="0.3">
      <c r="A395">
        <v>11</v>
      </c>
      <c r="B395">
        <v>2022</v>
      </c>
      <c r="C395" t="s">
        <v>33</v>
      </c>
      <c r="D395">
        <v>32</v>
      </c>
      <c r="E395" t="s">
        <v>214</v>
      </c>
      <c r="F395" t="s">
        <v>190</v>
      </c>
      <c r="G395" t="s">
        <v>358</v>
      </c>
      <c r="H395" t="s">
        <v>359</v>
      </c>
      <c r="I395" t="s">
        <v>360</v>
      </c>
      <c r="J395">
        <v>2995</v>
      </c>
      <c r="K395">
        <v>1443547</v>
      </c>
      <c r="L395">
        <v>118097299</v>
      </c>
      <c r="M395" t="str">
        <f t="shared" si="12"/>
        <v>Sea Port</v>
      </c>
      <c r="N395" t="str">
        <f t="shared" si="13"/>
        <v>November</v>
      </c>
    </row>
    <row r="396" spans="1:14" x14ac:dyDescent="0.3">
      <c r="A396">
        <v>12</v>
      </c>
      <c r="B396">
        <v>2018</v>
      </c>
      <c r="C396" t="s">
        <v>42</v>
      </c>
      <c r="D396">
        <v>33</v>
      </c>
      <c r="E396" t="s">
        <v>111</v>
      </c>
      <c r="F396" t="s">
        <v>90</v>
      </c>
      <c r="G396" t="s">
        <v>370</v>
      </c>
      <c r="H396" t="s">
        <v>371</v>
      </c>
      <c r="I396" t="s">
        <v>360</v>
      </c>
      <c r="J396">
        <v>86</v>
      </c>
      <c r="K396">
        <v>7865998</v>
      </c>
      <c r="L396">
        <v>556370698</v>
      </c>
      <c r="M396" t="str">
        <f t="shared" si="12"/>
        <v>Air Port</v>
      </c>
      <c r="N396" t="str">
        <f t="shared" si="13"/>
        <v>December</v>
      </c>
    </row>
    <row r="397" spans="1:14" x14ac:dyDescent="0.3">
      <c r="A397">
        <v>2</v>
      </c>
      <c r="B397">
        <v>2022</v>
      </c>
      <c r="C397" t="s">
        <v>23</v>
      </c>
      <c r="D397">
        <v>24</v>
      </c>
      <c r="E397" t="s">
        <v>24</v>
      </c>
      <c r="F397" t="s">
        <v>600</v>
      </c>
      <c r="G397" t="s">
        <v>358</v>
      </c>
      <c r="H397" t="s">
        <v>359</v>
      </c>
      <c r="I397" t="s">
        <v>360</v>
      </c>
      <c r="J397">
        <v>19</v>
      </c>
      <c r="K397">
        <v>9589</v>
      </c>
      <c r="L397">
        <v>719203</v>
      </c>
      <c r="M397" t="str">
        <f t="shared" si="12"/>
        <v>Other</v>
      </c>
      <c r="N397" t="str">
        <f t="shared" si="13"/>
        <v>February</v>
      </c>
    </row>
    <row r="398" spans="1:14" x14ac:dyDescent="0.3">
      <c r="A398">
        <v>10</v>
      </c>
      <c r="B398">
        <v>2019</v>
      </c>
      <c r="C398" t="s">
        <v>33</v>
      </c>
      <c r="D398">
        <v>32</v>
      </c>
      <c r="E398" t="s">
        <v>214</v>
      </c>
      <c r="F398" t="s">
        <v>190</v>
      </c>
      <c r="G398" t="s">
        <v>592</v>
      </c>
      <c r="H398" t="s">
        <v>593</v>
      </c>
      <c r="I398" t="s">
        <v>360</v>
      </c>
      <c r="J398">
        <v>1417</v>
      </c>
      <c r="K398">
        <v>727800</v>
      </c>
      <c r="L398">
        <v>51702478</v>
      </c>
      <c r="M398" t="str">
        <f t="shared" si="12"/>
        <v>Sea Port</v>
      </c>
      <c r="N398" t="str">
        <f t="shared" si="13"/>
        <v>October</v>
      </c>
    </row>
    <row r="399" spans="1:14" x14ac:dyDescent="0.3">
      <c r="A399">
        <v>1</v>
      </c>
      <c r="B399">
        <v>2021</v>
      </c>
      <c r="C399" t="s">
        <v>23</v>
      </c>
      <c r="D399">
        <v>24</v>
      </c>
      <c r="E399" t="s">
        <v>38</v>
      </c>
      <c r="F399" t="s">
        <v>529</v>
      </c>
      <c r="G399" t="s">
        <v>358</v>
      </c>
      <c r="H399" t="s">
        <v>359</v>
      </c>
      <c r="I399" t="s">
        <v>360</v>
      </c>
      <c r="J399">
        <v>202</v>
      </c>
      <c r="K399">
        <v>171217</v>
      </c>
      <c r="L399">
        <v>12517586</v>
      </c>
      <c r="M399" t="str">
        <f t="shared" si="12"/>
        <v>ICD / Dry Port</v>
      </c>
      <c r="N399" t="str">
        <f t="shared" si="13"/>
        <v>January</v>
      </c>
    </row>
    <row r="400" spans="1:14" x14ac:dyDescent="0.3">
      <c r="A400">
        <v>5</v>
      </c>
      <c r="B400">
        <v>2024</v>
      </c>
      <c r="C400" t="s">
        <v>23</v>
      </c>
      <c r="D400">
        <v>24</v>
      </c>
      <c r="E400" t="s">
        <v>431</v>
      </c>
      <c r="F400" t="s">
        <v>229</v>
      </c>
      <c r="G400" t="s">
        <v>382</v>
      </c>
      <c r="H400" t="s">
        <v>383</v>
      </c>
      <c r="I400" t="s">
        <v>360</v>
      </c>
      <c r="J400">
        <v>15000</v>
      </c>
      <c r="K400">
        <v>3084059</v>
      </c>
      <c r="L400">
        <v>257209000</v>
      </c>
      <c r="M400" t="str">
        <f t="shared" si="12"/>
        <v>Sea Port</v>
      </c>
      <c r="N400" t="str">
        <f t="shared" si="13"/>
        <v>May</v>
      </c>
    </row>
    <row r="401" spans="1:14" x14ac:dyDescent="0.3">
      <c r="A401">
        <v>12</v>
      </c>
      <c r="B401">
        <v>2019</v>
      </c>
      <c r="C401" t="s">
        <v>538</v>
      </c>
      <c r="D401">
        <v>34</v>
      </c>
      <c r="E401" t="s">
        <v>539</v>
      </c>
      <c r="F401" t="s">
        <v>68</v>
      </c>
      <c r="G401" t="s">
        <v>382</v>
      </c>
      <c r="H401" t="s">
        <v>383</v>
      </c>
      <c r="I401" t="s">
        <v>360</v>
      </c>
      <c r="J401">
        <v>640593</v>
      </c>
      <c r="K401">
        <v>36361271</v>
      </c>
      <c r="L401">
        <v>2588653423</v>
      </c>
      <c r="M401" t="str">
        <f t="shared" si="12"/>
        <v>Other</v>
      </c>
      <c r="N401" t="str">
        <f t="shared" si="13"/>
        <v>December</v>
      </c>
    </row>
    <row r="402" spans="1:14" x14ac:dyDescent="0.3">
      <c r="A402">
        <v>3</v>
      </c>
      <c r="B402">
        <v>2022</v>
      </c>
      <c r="C402" t="s">
        <v>137</v>
      </c>
      <c r="D402">
        <v>36</v>
      </c>
      <c r="E402" t="s">
        <v>138</v>
      </c>
      <c r="F402" t="s">
        <v>90</v>
      </c>
      <c r="G402" t="s">
        <v>370</v>
      </c>
      <c r="H402" t="s">
        <v>371</v>
      </c>
      <c r="I402" t="s">
        <v>360</v>
      </c>
      <c r="J402">
        <v>57</v>
      </c>
      <c r="K402">
        <v>374036</v>
      </c>
      <c r="L402">
        <v>28518210</v>
      </c>
      <c r="M402" t="str">
        <f t="shared" si="12"/>
        <v>ICD / Dry Port</v>
      </c>
      <c r="N402" t="str">
        <f t="shared" si="13"/>
        <v>March</v>
      </c>
    </row>
    <row r="403" spans="1:14" x14ac:dyDescent="0.3">
      <c r="A403">
        <v>5</v>
      </c>
      <c r="B403">
        <v>2018</v>
      </c>
      <c r="C403" t="s">
        <v>23</v>
      </c>
      <c r="D403">
        <v>24</v>
      </c>
      <c r="E403" t="s">
        <v>24</v>
      </c>
      <c r="F403" t="s">
        <v>194</v>
      </c>
      <c r="G403" t="s">
        <v>418</v>
      </c>
      <c r="H403" t="s">
        <v>419</v>
      </c>
      <c r="I403" t="s">
        <v>360</v>
      </c>
      <c r="J403">
        <v>164</v>
      </c>
      <c r="K403">
        <v>479203</v>
      </c>
      <c r="L403">
        <v>32365112</v>
      </c>
      <c r="M403" t="str">
        <f t="shared" si="12"/>
        <v>Other</v>
      </c>
      <c r="N403" t="str">
        <f t="shared" si="13"/>
        <v>May</v>
      </c>
    </row>
    <row r="404" spans="1:14" x14ac:dyDescent="0.3">
      <c r="A404">
        <v>6</v>
      </c>
      <c r="B404">
        <v>2023</v>
      </c>
      <c r="C404" t="s">
        <v>58</v>
      </c>
      <c r="D404">
        <v>27</v>
      </c>
      <c r="E404" t="s">
        <v>601</v>
      </c>
      <c r="F404" t="s">
        <v>180</v>
      </c>
      <c r="G404" t="s">
        <v>408</v>
      </c>
      <c r="H404" t="s">
        <v>409</v>
      </c>
      <c r="I404" t="s">
        <v>410</v>
      </c>
      <c r="J404">
        <v>12452</v>
      </c>
      <c r="K404">
        <v>198264</v>
      </c>
      <c r="L404">
        <v>16304023</v>
      </c>
      <c r="M404" t="str">
        <f t="shared" si="12"/>
        <v>Sea Port</v>
      </c>
      <c r="N404" t="str">
        <f t="shared" si="13"/>
        <v>June</v>
      </c>
    </row>
    <row r="405" spans="1:14" x14ac:dyDescent="0.3">
      <c r="A405">
        <v>4</v>
      </c>
      <c r="B405">
        <v>2019</v>
      </c>
      <c r="C405" t="s">
        <v>58</v>
      </c>
      <c r="D405">
        <v>27</v>
      </c>
      <c r="E405" t="s">
        <v>387</v>
      </c>
      <c r="F405" t="s">
        <v>167</v>
      </c>
      <c r="G405" t="s">
        <v>421</v>
      </c>
      <c r="H405" t="s">
        <v>422</v>
      </c>
      <c r="I405" t="s">
        <v>360</v>
      </c>
      <c r="J405">
        <v>405</v>
      </c>
      <c r="K405">
        <v>660637</v>
      </c>
      <c r="L405">
        <v>45866338</v>
      </c>
      <c r="M405" t="str">
        <f t="shared" si="12"/>
        <v>ICD / Dry Port</v>
      </c>
      <c r="N405" t="str">
        <f t="shared" si="13"/>
        <v>April</v>
      </c>
    </row>
    <row r="406" spans="1:14" x14ac:dyDescent="0.3">
      <c r="A406">
        <v>11</v>
      </c>
      <c r="B406">
        <v>2023</v>
      </c>
      <c r="C406" t="s">
        <v>18</v>
      </c>
      <c r="D406">
        <v>6</v>
      </c>
      <c r="E406" t="s">
        <v>254</v>
      </c>
      <c r="F406" t="s">
        <v>257</v>
      </c>
      <c r="G406" t="s">
        <v>370</v>
      </c>
      <c r="H406" t="s">
        <v>371</v>
      </c>
      <c r="I406" t="s">
        <v>360</v>
      </c>
      <c r="J406">
        <v>21</v>
      </c>
      <c r="K406">
        <v>35622</v>
      </c>
      <c r="L406">
        <v>2967216</v>
      </c>
      <c r="M406" t="str">
        <f t="shared" si="12"/>
        <v>ICD / Dry Port</v>
      </c>
      <c r="N406" t="str">
        <f t="shared" si="13"/>
        <v>November</v>
      </c>
    </row>
    <row r="407" spans="1:14" x14ac:dyDescent="0.3">
      <c r="A407">
        <v>1</v>
      </c>
      <c r="B407">
        <v>2019</v>
      </c>
      <c r="C407" t="s">
        <v>18</v>
      </c>
      <c r="D407">
        <v>6</v>
      </c>
      <c r="E407" t="s">
        <v>540</v>
      </c>
      <c r="F407" t="s">
        <v>70</v>
      </c>
      <c r="G407" t="s">
        <v>370</v>
      </c>
      <c r="H407" t="s">
        <v>371</v>
      </c>
      <c r="I407" t="s">
        <v>360</v>
      </c>
      <c r="J407">
        <v>17</v>
      </c>
      <c r="K407">
        <v>30939</v>
      </c>
      <c r="L407">
        <v>2188380</v>
      </c>
      <c r="M407" t="str">
        <f t="shared" si="12"/>
        <v>ICD / Dry Port</v>
      </c>
      <c r="N407" t="str">
        <f t="shared" si="13"/>
        <v>January</v>
      </c>
    </row>
    <row r="408" spans="1:14" x14ac:dyDescent="0.3">
      <c r="A408">
        <v>9</v>
      </c>
      <c r="B408">
        <v>2022</v>
      </c>
      <c r="C408" t="s">
        <v>12</v>
      </c>
      <c r="D408">
        <v>8</v>
      </c>
      <c r="E408" t="s">
        <v>560</v>
      </c>
      <c r="F408" t="s">
        <v>260</v>
      </c>
      <c r="G408" t="s">
        <v>358</v>
      </c>
      <c r="H408" t="s">
        <v>359</v>
      </c>
      <c r="I408" t="s">
        <v>360</v>
      </c>
      <c r="J408">
        <v>53</v>
      </c>
      <c r="K408">
        <v>35967</v>
      </c>
      <c r="L408">
        <v>2885701</v>
      </c>
      <c r="M408" t="str">
        <f t="shared" si="12"/>
        <v>ICD / Dry Port</v>
      </c>
      <c r="N408" t="str">
        <f t="shared" si="13"/>
        <v>September</v>
      </c>
    </row>
    <row r="409" spans="1:14" x14ac:dyDescent="0.3">
      <c r="A409">
        <v>1</v>
      </c>
      <c r="B409">
        <v>2024</v>
      </c>
      <c r="C409" t="s">
        <v>58</v>
      </c>
      <c r="D409">
        <v>27</v>
      </c>
      <c r="E409" t="s">
        <v>59</v>
      </c>
      <c r="F409" t="s">
        <v>327</v>
      </c>
      <c r="G409" t="s">
        <v>421</v>
      </c>
      <c r="H409" t="s">
        <v>422</v>
      </c>
      <c r="I409" t="s">
        <v>360</v>
      </c>
      <c r="J409">
        <v>50</v>
      </c>
      <c r="K409">
        <v>125208</v>
      </c>
      <c r="L409">
        <v>10407375</v>
      </c>
      <c r="M409" t="str">
        <f t="shared" si="12"/>
        <v>Sea Port</v>
      </c>
      <c r="N409" t="str">
        <f t="shared" si="13"/>
        <v>January</v>
      </c>
    </row>
    <row r="410" spans="1:14" x14ac:dyDescent="0.3">
      <c r="A410">
        <v>3</v>
      </c>
      <c r="B410">
        <v>2019</v>
      </c>
      <c r="C410" t="s">
        <v>58</v>
      </c>
      <c r="D410">
        <v>27</v>
      </c>
      <c r="E410" t="s">
        <v>533</v>
      </c>
      <c r="F410" t="s">
        <v>237</v>
      </c>
      <c r="G410" t="s">
        <v>358</v>
      </c>
      <c r="H410" t="s">
        <v>359</v>
      </c>
      <c r="I410" t="s">
        <v>360</v>
      </c>
      <c r="J410">
        <v>1030</v>
      </c>
      <c r="K410">
        <v>2211598</v>
      </c>
      <c r="L410">
        <v>153658752</v>
      </c>
      <c r="M410" t="str">
        <f t="shared" si="12"/>
        <v>Sea Port</v>
      </c>
      <c r="N410" t="str">
        <f t="shared" si="13"/>
        <v>March</v>
      </c>
    </row>
    <row r="411" spans="1:14" x14ac:dyDescent="0.3">
      <c r="A411">
        <v>8</v>
      </c>
      <c r="B411">
        <v>2021</v>
      </c>
      <c r="C411" t="s">
        <v>42</v>
      </c>
      <c r="D411">
        <v>33</v>
      </c>
      <c r="E411" t="s">
        <v>176</v>
      </c>
      <c r="F411" t="s">
        <v>215</v>
      </c>
      <c r="G411" t="s">
        <v>358</v>
      </c>
      <c r="H411" t="s">
        <v>359</v>
      </c>
      <c r="I411" t="s">
        <v>360</v>
      </c>
      <c r="J411">
        <v>43</v>
      </c>
      <c r="K411">
        <v>23496</v>
      </c>
      <c r="L411">
        <v>1743052</v>
      </c>
      <c r="M411" t="str">
        <f t="shared" si="12"/>
        <v>Sea Port</v>
      </c>
      <c r="N411" t="str">
        <f t="shared" si="13"/>
        <v>August</v>
      </c>
    </row>
    <row r="412" spans="1:14" x14ac:dyDescent="0.3">
      <c r="A412">
        <v>9</v>
      </c>
      <c r="B412">
        <v>2018</v>
      </c>
      <c r="C412" t="s">
        <v>58</v>
      </c>
      <c r="D412">
        <v>27</v>
      </c>
      <c r="E412" t="s">
        <v>59</v>
      </c>
      <c r="F412" t="s">
        <v>263</v>
      </c>
      <c r="G412" t="s">
        <v>370</v>
      </c>
      <c r="H412" t="s">
        <v>371</v>
      </c>
      <c r="I412" t="s">
        <v>360</v>
      </c>
      <c r="J412">
        <v>406</v>
      </c>
      <c r="K412">
        <v>1816344</v>
      </c>
      <c r="L412">
        <v>131167857</v>
      </c>
      <c r="M412" t="str">
        <f t="shared" si="12"/>
        <v>Sea Port</v>
      </c>
      <c r="N412" t="str">
        <f t="shared" si="13"/>
        <v>September</v>
      </c>
    </row>
    <row r="413" spans="1:14" x14ac:dyDescent="0.3">
      <c r="A413">
        <v>8</v>
      </c>
      <c r="B413">
        <v>2019</v>
      </c>
      <c r="C413" t="s">
        <v>18</v>
      </c>
      <c r="D413">
        <v>6</v>
      </c>
      <c r="E413" t="s">
        <v>566</v>
      </c>
      <c r="F413" t="s">
        <v>30</v>
      </c>
      <c r="G413" t="s">
        <v>421</v>
      </c>
      <c r="H413" t="s">
        <v>422</v>
      </c>
      <c r="I413" t="s">
        <v>360</v>
      </c>
      <c r="J413">
        <v>3</v>
      </c>
      <c r="K413">
        <v>11969</v>
      </c>
      <c r="L413">
        <v>851539</v>
      </c>
      <c r="M413" t="str">
        <f t="shared" si="12"/>
        <v>ICD / Dry Port</v>
      </c>
      <c r="N413" t="str">
        <f t="shared" si="13"/>
        <v>August</v>
      </c>
    </row>
    <row r="414" spans="1:14" x14ac:dyDescent="0.3">
      <c r="A414">
        <v>7</v>
      </c>
      <c r="B414">
        <v>2021</v>
      </c>
      <c r="C414" t="s">
        <v>18</v>
      </c>
      <c r="D414">
        <v>6</v>
      </c>
      <c r="E414" t="s">
        <v>233</v>
      </c>
      <c r="F414" t="s">
        <v>184</v>
      </c>
      <c r="G414" t="s">
        <v>358</v>
      </c>
      <c r="H414" t="s">
        <v>359</v>
      </c>
      <c r="I414" t="s">
        <v>360</v>
      </c>
      <c r="J414">
        <v>49</v>
      </c>
      <c r="K414">
        <v>81552</v>
      </c>
      <c r="L414">
        <v>6077801</v>
      </c>
      <c r="M414" t="str">
        <f t="shared" si="12"/>
        <v>ICD / Dry Port</v>
      </c>
      <c r="N414" t="str">
        <f t="shared" si="13"/>
        <v>July</v>
      </c>
    </row>
    <row r="415" spans="1:14" x14ac:dyDescent="0.3">
      <c r="A415">
        <v>6</v>
      </c>
      <c r="B415">
        <v>2023</v>
      </c>
      <c r="C415" t="s">
        <v>79</v>
      </c>
      <c r="D415">
        <v>9</v>
      </c>
      <c r="E415" t="s">
        <v>446</v>
      </c>
      <c r="F415" t="s">
        <v>294</v>
      </c>
      <c r="G415" t="s">
        <v>421</v>
      </c>
      <c r="H415" t="s">
        <v>422</v>
      </c>
      <c r="I415" t="s">
        <v>360</v>
      </c>
      <c r="J415">
        <v>109</v>
      </c>
      <c r="K415">
        <v>51559</v>
      </c>
      <c r="L415">
        <v>4239924</v>
      </c>
      <c r="M415" t="str">
        <f t="shared" si="12"/>
        <v>ICD / Dry Port</v>
      </c>
      <c r="N415" t="str">
        <f t="shared" si="13"/>
        <v>June</v>
      </c>
    </row>
    <row r="416" spans="1:14" x14ac:dyDescent="0.3">
      <c r="A416">
        <v>5</v>
      </c>
      <c r="B416">
        <v>2024</v>
      </c>
      <c r="C416" t="s">
        <v>275</v>
      </c>
      <c r="D416">
        <v>28</v>
      </c>
      <c r="E416" t="s">
        <v>602</v>
      </c>
      <c r="F416" t="s">
        <v>153</v>
      </c>
      <c r="G416" t="s">
        <v>123</v>
      </c>
      <c r="H416" t="s">
        <v>553</v>
      </c>
      <c r="I416" t="s">
        <v>365</v>
      </c>
      <c r="J416">
        <v>9</v>
      </c>
      <c r="K416">
        <v>10672</v>
      </c>
      <c r="L416">
        <v>890075</v>
      </c>
      <c r="M416" t="str">
        <f t="shared" si="12"/>
        <v>Other</v>
      </c>
      <c r="N416" t="str">
        <f t="shared" si="13"/>
        <v>May</v>
      </c>
    </row>
    <row r="417" spans="1:14" x14ac:dyDescent="0.3">
      <c r="A417">
        <v>6</v>
      </c>
      <c r="B417">
        <v>2022</v>
      </c>
      <c r="C417" t="s">
        <v>137</v>
      </c>
      <c r="D417">
        <v>36</v>
      </c>
      <c r="E417" t="s">
        <v>148</v>
      </c>
      <c r="F417" t="s">
        <v>193</v>
      </c>
      <c r="G417" t="s">
        <v>500</v>
      </c>
      <c r="H417" t="s">
        <v>501</v>
      </c>
      <c r="I417" t="s">
        <v>365</v>
      </c>
      <c r="J417">
        <v>1</v>
      </c>
      <c r="K417">
        <v>552</v>
      </c>
      <c r="L417">
        <v>43076</v>
      </c>
      <c r="M417" t="str">
        <f t="shared" si="12"/>
        <v>Sea Port</v>
      </c>
      <c r="N417" t="str">
        <f t="shared" si="13"/>
        <v>June</v>
      </c>
    </row>
    <row r="418" spans="1:14" x14ac:dyDescent="0.3">
      <c r="A418">
        <v>5</v>
      </c>
      <c r="B418">
        <v>2020</v>
      </c>
      <c r="C418" t="s">
        <v>73</v>
      </c>
      <c r="D418">
        <v>3</v>
      </c>
      <c r="E418" t="s">
        <v>74</v>
      </c>
      <c r="F418" t="s">
        <v>108</v>
      </c>
      <c r="G418" t="s">
        <v>447</v>
      </c>
      <c r="H418" t="s">
        <v>448</v>
      </c>
      <c r="I418" t="s">
        <v>365</v>
      </c>
      <c r="J418">
        <v>66840</v>
      </c>
      <c r="K418">
        <v>78908</v>
      </c>
      <c r="L418">
        <v>5970194</v>
      </c>
      <c r="M418" t="str">
        <f t="shared" si="12"/>
        <v>ICD / Dry Port</v>
      </c>
      <c r="N418" t="str">
        <f t="shared" si="13"/>
        <v>May</v>
      </c>
    </row>
    <row r="419" spans="1:14" x14ac:dyDescent="0.3">
      <c r="A419">
        <v>4</v>
      </c>
      <c r="B419">
        <v>2024</v>
      </c>
      <c r="C419" t="s">
        <v>42</v>
      </c>
      <c r="D419">
        <v>33</v>
      </c>
      <c r="E419" t="s">
        <v>43</v>
      </c>
      <c r="F419" t="s">
        <v>231</v>
      </c>
      <c r="G419" t="s">
        <v>492</v>
      </c>
      <c r="H419" t="s">
        <v>493</v>
      </c>
      <c r="I419" t="s">
        <v>365</v>
      </c>
      <c r="J419">
        <v>121</v>
      </c>
      <c r="K419">
        <v>2589</v>
      </c>
      <c r="L419">
        <v>215925</v>
      </c>
      <c r="M419" t="str">
        <f t="shared" si="12"/>
        <v>Sea Port</v>
      </c>
      <c r="N419" t="str">
        <f t="shared" si="13"/>
        <v>April</v>
      </c>
    </row>
    <row r="420" spans="1:14" x14ac:dyDescent="0.3">
      <c r="A420">
        <v>10</v>
      </c>
      <c r="B420">
        <v>2021</v>
      </c>
      <c r="C420" t="s">
        <v>132</v>
      </c>
      <c r="D420">
        <v>19</v>
      </c>
      <c r="E420" t="s">
        <v>400</v>
      </c>
      <c r="F420" t="s">
        <v>126</v>
      </c>
      <c r="G420" t="s">
        <v>363</v>
      </c>
      <c r="H420" t="s">
        <v>603</v>
      </c>
      <c r="I420" t="s">
        <v>365</v>
      </c>
      <c r="J420">
        <v>10994</v>
      </c>
      <c r="K420">
        <v>11740</v>
      </c>
      <c r="L420">
        <v>879471</v>
      </c>
      <c r="M420" t="str">
        <f t="shared" si="12"/>
        <v>Other</v>
      </c>
      <c r="N420" t="str">
        <f t="shared" si="13"/>
        <v>October</v>
      </c>
    </row>
    <row r="421" spans="1:14" x14ac:dyDescent="0.3">
      <c r="A421">
        <v>1</v>
      </c>
      <c r="B421">
        <v>2020</v>
      </c>
      <c r="C421" t="s">
        <v>132</v>
      </c>
      <c r="D421">
        <v>19</v>
      </c>
      <c r="E421" t="s">
        <v>209</v>
      </c>
      <c r="F421" t="s">
        <v>194</v>
      </c>
      <c r="G421" t="s">
        <v>480</v>
      </c>
      <c r="H421" t="s">
        <v>481</v>
      </c>
      <c r="I421" t="s">
        <v>365</v>
      </c>
      <c r="J421">
        <v>93100</v>
      </c>
      <c r="K421">
        <v>274684</v>
      </c>
      <c r="L421">
        <v>19588781</v>
      </c>
      <c r="M421" t="str">
        <f t="shared" si="12"/>
        <v>Sea Port</v>
      </c>
      <c r="N421" t="str">
        <f t="shared" si="13"/>
        <v>January</v>
      </c>
    </row>
    <row r="422" spans="1:14" x14ac:dyDescent="0.3">
      <c r="A422">
        <v>6</v>
      </c>
      <c r="B422">
        <v>2021</v>
      </c>
      <c r="C422" t="s">
        <v>23</v>
      </c>
      <c r="D422">
        <v>24</v>
      </c>
      <c r="E422" t="s">
        <v>24</v>
      </c>
      <c r="F422" t="s">
        <v>350</v>
      </c>
      <c r="G422" t="s">
        <v>363</v>
      </c>
      <c r="H422" t="s">
        <v>603</v>
      </c>
      <c r="I422" t="s">
        <v>365</v>
      </c>
      <c r="J422">
        <v>96600</v>
      </c>
      <c r="K422">
        <v>37863</v>
      </c>
      <c r="L422">
        <v>2785109</v>
      </c>
      <c r="M422" t="str">
        <f t="shared" si="12"/>
        <v>Other</v>
      </c>
      <c r="N422" t="str">
        <f t="shared" si="13"/>
        <v>June</v>
      </c>
    </row>
    <row r="423" spans="1:14" x14ac:dyDescent="0.3">
      <c r="A423">
        <v>3</v>
      </c>
      <c r="B423">
        <v>2020</v>
      </c>
      <c r="C423" t="s">
        <v>58</v>
      </c>
      <c r="D423">
        <v>27</v>
      </c>
      <c r="E423" t="s">
        <v>125</v>
      </c>
      <c r="F423" t="s">
        <v>108</v>
      </c>
      <c r="G423" t="s">
        <v>438</v>
      </c>
      <c r="H423" t="s">
        <v>439</v>
      </c>
      <c r="I423" t="s">
        <v>365</v>
      </c>
      <c r="J423">
        <v>2741</v>
      </c>
      <c r="K423">
        <v>1031163</v>
      </c>
      <c r="L423">
        <v>76667690</v>
      </c>
      <c r="M423" t="str">
        <f t="shared" si="12"/>
        <v>Air Port</v>
      </c>
      <c r="N423" t="str">
        <f t="shared" si="13"/>
        <v>March</v>
      </c>
    </row>
    <row r="424" spans="1:14" x14ac:dyDescent="0.3">
      <c r="A424">
        <v>5</v>
      </c>
      <c r="B424">
        <v>2018</v>
      </c>
      <c r="C424" t="s">
        <v>47</v>
      </c>
      <c r="D424">
        <v>7</v>
      </c>
      <c r="E424" t="s">
        <v>509</v>
      </c>
      <c r="F424" t="s">
        <v>190</v>
      </c>
      <c r="G424" t="s">
        <v>480</v>
      </c>
      <c r="H424" t="s">
        <v>481</v>
      </c>
      <c r="I424" t="s">
        <v>365</v>
      </c>
      <c r="J424">
        <v>1440</v>
      </c>
      <c r="K424">
        <v>20614</v>
      </c>
      <c r="L424">
        <v>1392286</v>
      </c>
      <c r="M424" t="str">
        <f t="shared" si="12"/>
        <v>CFS</v>
      </c>
      <c r="N424" t="str">
        <f t="shared" si="13"/>
        <v>May</v>
      </c>
    </row>
    <row r="425" spans="1:14" x14ac:dyDescent="0.3">
      <c r="A425">
        <v>3</v>
      </c>
      <c r="B425">
        <v>2020</v>
      </c>
      <c r="C425" t="s">
        <v>28</v>
      </c>
      <c r="D425">
        <v>29</v>
      </c>
      <c r="E425" t="s">
        <v>312</v>
      </c>
      <c r="F425" t="s">
        <v>90</v>
      </c>
      <c r="G425" t="s">
        <v>451</v>
      </c>
      <c r="H425" t="s">
        <v>524</v>
      </c>
      <c r="I425" t="s">
        <v>365</v>
      </c>
      <c r="J425">
        <v>60000</v>
      </c>
      <c r="K425">
        <v>128394</v>
      </c>
      <c r="L425">
        <v>9546212</v>
      </c>
      <c r="M425" t="str">
        <f t="shared" si="12"/>
        <v>Sea Port</v>
      </c>
      <c r="N425" t="str">
        <f t="shared" si="13"/>
        <v>March</v>
      </c>
    </row>
    <row r="426" spans="1:14" x14ac:dyDescent="0.3">
      <c r="A426">
        <v>7</v>
      </c>
      <c r="B426">
        <v>2021</v>
      </c>
      <c r="C426" t="s">
        <v>28</v>
      </c>
      <c r="D426">
        <v>29</v>
      </c>
      <c r="E426" t="s">
        <v>312</v>
      </c>
      <c r="F426" t="s">
        <v>194</v>
      </c>
      <c r="G426" t="s">
        <v>436</v>
      </c>
      <c r="H426" t="s">
        <v>437</v>
      </c>
      <c r="I426" t="s">
        <v>365</v>
      </c>
      <c r="J426">
        <v>5164642</v>
      </c>
      <c r="K426">
        <v>5194679</v>
      </c>
      <c r="L426">
        <v>387143874</v>
      </c>
      <c r="M426" t="str">
        <f t="shared" si="12"/>
        <v>Sea Port</v>
      </c>
      <c r="N426" t="str">
        <f t="shared" si="13"/>
        <v>July</v>
      </c>
    </row>
    <row r="427" spans="1:14" x14ac:dyDescent="0.3">
      <c r="A427">
        <v>12</v>
      </c>
      <c r="B427">
        <v>2018</v>
      </c>
      <c r="C427" t="s">
        <v>58</v>
      </c>
      <c r="D427">
        <v>27</v>
      </c>
      <c r="E427" t="s">
        <v>125</v>
      </c>
      <c r="F427" t="s">
        <v>89</v>
      </c>
      <c r="G427" t="s">
        <v>470</v>
      </c>
      <c r="H427" t="s">
        <v>471</v>
      </c>
      <c r="I427" t="s">
        <v>365</v>
      </c>
      <c r="J427">
        <v>175</v>
      </c>
      <c r="K427">
        <v>1139</v>
      </c>
      <c r="L427">
        <v>80571</v>
      </c>
      <c r="M427" t="str">
        <f t="shared" si="12"/>
        <v>Air Port</v>
      </c>
      <c r="N427" t="str">
        <f t="shared" si="13"/>
        <v>December</v>
      </c>
    </row>
    <row r="428" spans="1:14" x14ac:dyDescent="0.3">
      <c r="A428">
        <v>7</v>
      </c>
      <c r="B428">
        <v>2023</v>
      </c>
      <c r="C428" t="s">
        <v>47</v>
      </c>
      <c r="D428">
        <v>7</v>
      </c>
      <c r="E428" t="s">
        <v>48</v>
      </c>
      <c r="F428" t="s">
        <v>350</v>
      </c>
      <c r="G428" t="s">
        <v>436</v>
      </c>
      <c r="H428" t="s">
        <v>437</v>
      </c>
      <c r="I428" t="s">
        <v>365</v>
      </c>
      <c r="J428">
        <v>321</v>
      </c>
      <c r="K428">
        <v>2949</v>
      </c>
      <c r="L428">
        <v>242291</v>
      </c>
      <c r="M428" t="str">
        <f t="shared" si="12"/>
        <v>Air Port</v>
      </c>
      <c r="N428" t="str">
        <f t="shared" si="13"/>
        <v>July</v>
      </c>
    </row>
    <row r="429" spans="1:14" x14ac:dyDescent="0.3">
      <c r="A429">
        <v>5</v>
      </c>
      <c r="B429">
        <v>2018</v>
      </c>
      <c r="C429" t="s">
        <v>42</v>
      </c>
      <c r="D429">
        <v>33</v>
      </c>
      <c r="E429" t="s">
        <v>525</v>
      </c>
      <c r="F429" t="s">
        <v>294</v>
      </c>
      <c r="G429" t="s">
        <v>451</v>
      </c>
      <c r="H429" t="s">
        <v>524</v>
      </c>
      <c r="I429" t="s">
        <v>365</v>
      </c>
      <c r="J429">
        <v>8800</v>
      </c>
      <c r="K429">
        <v>23218</v>
      </c>
      <c r="L429">
        <v>1568160</v>
      </c>
      <c r="M429" t="str">
        <f t="shared" si="12"/>
        <v>SEZ / Industrial Zone</v>
      </c>
      <c r="N429" t="str">
        <f t="shared" si="13"/>
        <v>May</v>
      </c>
    </row>
    <row r="430" spans="1:14" x14ac:dyDescent="0.3">
      <c r="A430">
        <v>7</v>
      </c>
      <c r="B430">
        <v>2021</v>
      </c>
      <c r="C430" t="s">
        <v>23</v>
      </c>
      <c r="D430">
        <v>24</v>
      </c>
      <c r="E430" t="s">
        <v>295</v>
      </c>
      <c r="F430" t="s">
        <v>251</v>
      </c>
      <c r="G430" t="s">
        <v>490</v>
      </c>
      <c r="H430" t="s">
        <v>491</v>
      </c>
      <c r="I430" t="s">
        <v>365</v>
      </c>
      <c r="J430">
        <v>20000</v>
      </c>
      <c r="K430">
        <v>30917</v>
      </c>
      <c r="L430">
        <v>2304180</v>
      </c>
      <c r="M430" t="str">
        <f t="shared" si="12"/>
        <v>ICD / Dry Port</v>
      </c>
      <c r="N430" t="str">
        <f t="shared" si="13"/>
        <v>July</v>
      </c>
    </row>
    <row r="431" spans="1:14" x14ac:dyDescent="0.3">
      <c r="A431">
        <v>5</v>
      </c>
      <c r="B431">
        <v>2024</v>
      </c>
      <c r="C431" t="s">
        <v>42</v>
      </c>
      <c r="D431">
        <v>33</v>
      </c>
      <c r="E431" t="s">
        <v>111</v>
      </c>
      <c r="F431" t="s">
        <v>190</v>
      </c>
      <c r="G431" t="s">
        <v>474</v>
      </c>
      <c r="H431" t="s">
        <v>475</v>
      </c>
      <c r="I431" t="s">
        <v>365</v>
      </c>
      <c r="J431">
        <v>310</v>
      </c>
      <c r="K431">
        <v>6118</v>
      </c>
      <c r="L431">
        <v>510271</v>
      </c>
      <c r="M431" t="str">
        <f t="shared" si="12"/>
        <v>Air Port</v>
      </c>
      <c r="N431" t="str">
        <f t="shared" si="13"/>
        <v>May</v>
      </c>
    </row>
    <row r="432" spans="1:14" x14ac:dyDescent="0.3">
      <c r="A432">
        <v>5</v>
      </c>
      <c r="B432">
        <v>2021</v>
      </c>
      <c r="C432" t="s">
        <v>47</v>
      </c>
      <c r="D432">
        <v>7</v>
      </c>
      <c r="E432" t="s">
        <v>48</v>
      </c>
      <c r="F432" t="s">
        <v>131</v>
      </c>
      <c r="G432" t="s">
        <v>494</v>
      </c>
      <c r="H432" t="s">
        <v>526</v>
      </c>
      <c r="I432" t="s">
        <v>365</v>
      </c>
      <c r="J432">
        <v>115804</v>
      </c>
      <c r="K432">
        <v>290178</v>
      </c>
      <c r="L432">
        <v>21260689</v>
      </c>
      <c r="M432" t="str">
        <f t="shared" si="12"/>
        <v>Air Port</v>
      </c>
      <c r="N432" t="str">
        <f t="shared" si="13"/>
        <v>May</v>
      </c>
    </row>
    <row r="433" spans="1:14" x14ac:dyDescent="0.3">
      <c r="A433">
        <v>8</v>
      </c>
      <c r="B433">
        <v>2018</v>
      </c>
      <c r="C433" t="s">
        <v>58</v>
      </c>
      <c r="D433">
        <v>27</v>
      </c>
      <c r="E433" t="s">
        <v>59</v>
      </c>
      <c r="F433" t="s">
        <v>163</v>
      </c>
      <c r="G433" t="s">
        <v>436</v>
      </c>
      <c r="H433" t="s">
        <v>437</v>
      </c>
      <c r="I433" t="s">
        <v>365</v>
      </c>
      <c r="J433">
        <v>180400</v>
      </c>
      <c r="K433">
        <v>95224</v>
      </c>
      <c r="L433">
        <v>6622484</v>
      </c>
      <c r="M433" t="str">
        <f t="shared" si="12"/>
        <v>Sea Port</v>
      </c>
      <c r="N433" t="str">
        <f t="shared" si="13"/>
        <v>August</v>
      </c>
    </row>
    <row r="434" spans="1:14" x14ac:dyDescent="0.3">
      <c r="A434">
        <v>1</v>
      </c>
      <c r="B434">
        <v>2022</v>
      </c>
      <c r="C434" t="s">
        <v>42</v>
      </c>
      <c r="D434">
        <v>33</v>
      </c>
      <c r="E434" t="s">
        <v>43</v>
      </c>
      <c r="F434" t="s">
        <v>194</v>
      </c>
      <c r="G434" t="s">
        <v>375</v>
      </c>
      <c r="H434" t="s">
        <v>376</v>
      </c>
      <c r="I434" t="s">
        <v>365</v>
      </c>
      <c r="J434">
        <v>13994</v>
      </c>
      <c r="K434">
        <v>453573</v>
      </c>
      <c r="L434">
        <v>33764723</v>
      </c>
      <c r="M434" t="str">
        <f t="shared" si="12"/>
        <v>Sea Port</v>
      </c>
      <c r="N434" t="str">
        <f t="shared" si="13"/>
        <v>January</v>
      </c>
    </row>
    <row r="435" spans="1:14" x14ac:dyDescent="0.3">
      <c r="A435">
        <v>7</v>
      </c>
      <c r="B435">
        <v>2018</v>
      </c>
      <c r="C435" t="s">
        <v>47</v>
      </c>
      <c r="D435">
        <v>7</v>
      </c>
      <c r="E435" t="s">
        <v>509</v>
      </c>
      <c r="F435" t="s">
        <v>90</v>
      </c>
      <c r="G435" t="s">
        <v>527</v>
      </c>
      <c r="H435" t="s">
        <v>528</v>
      </c>
      <c r="I435" t="s">
        <v>365</v>
      </c>
      <c r="J435">
        <v>9040</v>
      </c>
      <c r="K435">
        <v>53458</v>
      </c>
      <c r="L435">
        <v>3672198</v>
      </c>
      <c r="M435" t="str">
        <f t="shared" si="12"/>
        <v>CFS</v>
      </c>
      <c r="N435" t="str">
        <f t="shared" si="13"/>
        <v>July</v>
      </c>
    </row>
    <row r="436" spans="1:14" x14ac:dyDescent="0.3">
      <c r="A436">
        <v>2</v>
      </c>
      <c r="B436">
        <v>2023</v>
      </c>
      <c r="C436" t="s">
        <v>12</v>
      </c>
      <c r="D436">
        <v>8</v>
      </c>
      <c r="E436" t="s">
        <v>165</v>
      </c>
      <c r="F436" t="s">
        <v>167</v>
      </c>
      <c r="G436" t="s">
        <v>363</v>
      </c>
      <c r="H436" t="s">
        <v>603</v>
      </c>
      <c r="I436" t="s">
        <v>365</v>
      </c>
      <c r="J436">
        <v>120</v>
      </c>
      <c r="K436">
        <v>4384</v>
      </c>
      <c r="L436">
        <v>362120</v>
      </c>
      <c r="M436" t="str">
        <f t="shared" si="12"/>
        <v>ICD / Dry Port</v>
      </c>
      <c r="N436" t="str">
        <f t="shared" si="13"/>
        <v>February</v>
      </c>
    </row>
    <row r="437" spans="1:14" x14ac:dyDescent="0.3">
      <c r="A437">
        <v>3</v>
      </c>
      <c r="B437">
        <v>2019</v>
      </c>
      <c r="C437" t="s">
        <v>42</v>
      </c>
      <c r="D437">
        <v>33</v>
      </c>
      <c r="E437" t="s">
        <v>111</v>
      </c>
      <c r="F437" t="s">
        <v>105</v>
      </c>
      <c r="G437" t="s">
        <v>453</v>
      </c>
      <c r="H437" t="s">
        <v>454</v>
      </c>
      <c r="I437" t="s">
        <v>365</v>
      </c>
      <c r="J437">
        <v>770</v>
      </c>
      <c r="K437">
        <v>14176</v>
      </c>
      <c r="L437">
        <v>984929</v>
      </c>
      <c r="M437" t="str">
        <f t="shared" si="12"/>
        <v>Air Port</v>
      </c>
      <c r="N437" t="str">
        <f t="shared" si="13"/>
        <v>March</v>
      </c>
    </row>
    <row r="438" spans="1:14" x14ac:dyDescent="0.3">
      <c r="A438">
        <v>2</v>
      </c>
      <c r="B438">
        <v>2023</v>
      </c>
      <c r="C438" t="s">
        <v>42</v>
      </c>
      <c r="D438">
        <v>33</v>
      </c>
      <c r="E438" t="s">
        <v>111</v>
      </c>
      <c r="F438" t="s">
        <v>294</v>
      </c>
      <c r="G438" t="s">
        <v>121</v>
      </c>
      <c r="H438" t="s">
        <v>122</v>
      </c>
      <c r="I438" t="s">
        <v>365</v>
      </c>
      <c r="J438">
        <v>71</v>
      </c>
      <c r="K438">
        <v>5257</v>
      </c>
      <c r="L438">
        <v>434246</v>
      </c>
      <c r="M438" t="str">
        <f t="shared" si="12"/>
        <v>Air Port</v>
      </c>
      <c r="N438" t="str">
        <f t="shared" si="13"/>
        <v>February</v>
      </c>
    </row>
    <row r="439" spans="1:14" x14ac:dyDescent="0.3">
      <c r="A439">
        <v>1</v>
      </c>
      <c r="B439">
        <v>2022</v>
      </c>
      <c r="C439" t="s">
        <v>132</v>
      </c>
      <c r="D439">
        <v>19</v>
      </c>
      <c r="E439" t="s">
        <v>209</v>
      </c>
      <c r="F439" t="s">
        <v>288</v>
      </c>
      <c r="G439" t="s">
        <v>436</v>
      </c>
      <c r="H439" t="s">
        <v>437</v>
      </c>
      <c r="I439" t="s">
        <v>365</v>
      </c>
      <c r="J439">
        <v>840000</v>
      </c>
      <c r="K439">
        <v>227392</v>
      </c>
      <c r="L439">
        <v>16927437</v>
      </c>
      <c r="M439" t="str">
        <f t="shared" si="12"/>
        <v>Sea Port</v>
      </c>
      <c r="N439" t="str">
        <f t="shared" si="13"/>
        <v>January</v>
      </c>
    </row>
    <row r="440" spans="1:14" x14ac:dyDescent="0.3">
      <c r="A440">
        <v>5</v>
      </c>
      <c r="B440">
        <v>2019</v>
      </c>
      <c r="C440" t="s">
        <v>28</v>
      </c>
      <c r="D440">
        <v>29</v>
      </c>
      <c r="E440" t="s">
        <v>29</v>
      </c>
      <c r="F440" t="s">
        <v>30</v>
      </c>
      <c r="G440" t="s">
        <v>460</v>
      </c>
      <c r="H440" t="s">
        <v>461</v>
      </c>
      <c r="I440" t="s">
        <v>365</v>
      </c>
      <c r="J440">
        <v>161</v>
      </c>
      <c r="K440">
        <v>694468</v>
      </c>
      <c r="L440">
        <v>48455200</v>
      </c>
      <c r="M440" t="str">
        <f t="shared" si="12"/>
        <v>Sea Port</v>
      </c>
      <c r="N440" t="str">
        <f t="shared" si="13"/>
        <v>May</v>
      </c>
    </row>
    <row r="441" spans="1:14" x14ac:dyDescent="0.3">
      <c r="A441">
        <v>7</v>
      </c>
      <c r="B441">
        <v>2023</v>
      </c>
      <c r="C441" t="s">
        <v>58</v>
      </c>
      <c r="D441">
        <v>27</v>
      </c>
      <c r="E441" t="s">
        <v>59</v>
      </c>
      <c r="F441" t="s">
        <v>167</v>
      </c>
      <c r="G441" t="s">
        <v>571</v>
      </c>
      <c r="H441" t="s">
        <v>572</v>
      </c>
      <c r="I441" t="s">
        <v>365</v>
      </c>
      <c r="J441">
        <v>95834</v>
      </c>
      <c r="K441">
        <v>482926</v>
      </c>
      <c r="L441">
        <v>39673278</v>
      </c>
      <c r="M441" t="str">
        <f t="shared" si="12"/>
        <v>Sea Port</v>
      </c>
      <c r="N441" t="str">
        <f t="shared" si="13"/>
        <v>July</v>
      </c>
    </row>
    <row r="442" spans="1:14" x14ac:dyDescent="0.3">
      <c r="A442">
        <v>1</v>
      </c>
      <c r="B442">
        <v>2024</v>
      </c>
      <c r="C442" t="s">
        <v>132</v>
      </c>
      <c r="D442">
        <v>19</v>
      </c>
      <c r="E442" t="s">
        <v>133</v>
      </c>
      <c r="F442" t="s">
        <v>90</v>
      </c>
      <c r="G442" t="s">
        <v>363</v>
      </c>
      <c r="H442" t="s">
        <v>603</v>
      </c>
      <c r="I442" t="s">
        <v>365</v>
      </c>
      <c r="J442">
        <v>1545</v>
      </c>
      <c r="K442">
        <v>15173</v>
      </c>
      <c r="L442">
        <v>1261182</v>
      </c>
      <c r="M442" t="str">
        <f t="shared" si="12"/>
        <v>Air Port</v>
      </c>
      <c r="N442" t="str">
        <f t="shared" si="13"/>
        <v>January</v>
      </c>
    </row>
    <row r="443" spans="1:14" x14ac:dyDescent="0.3">
      <c r="A443">
        <v>2</v>
      </c>
      <c r="B443">
        <v>2024</v>
      </c>
      <c r="C443" t="s">
        <v>79</v>
      </c>
      <c r="D443">
        <v>9</v>
      </c>
      <c r="E443" t="s">
        <v>189</v>
      </c>
      <c r="F443" t="s">
        <v>44</v>
      </c>
      <c r="G443" t="s">
        <v>500</v>
      </c>
      <c r="H443" t="s">
        <v>501</v>
      </c>
      <c r="I443" t="s">
        <v>365</v>
      </c>
      <c r="J443">
        <v>36000</v>
      </c>
      <c r="K443">
        <v>259887</v>
      </c>
      <c r="L443">
        <v>21561120</v>
      </c>
      <c r="M443" t="str">
        <f t="shared" si="12"/>
        <v>Other</v>
      </c>
      <c r="N443" t="str">
        <f t="shared" si="13"/>
        <v>February</v>
      </c>
    </row>
    <row r="444" spans="1:14" x14ac:dyDescent="0.3">
      <c r="A444">
        <v>7</v>
      </c>
      <c r="B444">
        <v>2022</v>
      </c>
      <c r="C444" t="s">
        <v>18</v>
      </c>
      <c r="D444">
        <v>6</v>
      </c>
      <c r="E444" t="s">
        <v>19</v>
      </c>
      <c r="F444" t="s">
        <v>277</v>
      </c>
      <c r="G444" t="s">
        <v>363</v>
      </c>
      <c r="H444" t="s">
        <v>603</v>
      </c>
      <c r="I444" t="s">
        <v>365</v>
      </c>
      <c r="J444">
        <v>786</v>
      </c>
      <c r="K444">
        <v>3378</v>
      </c>
      <c r="L444">
        <v>268894</v>
      </c>
      <c r="M444" t="str">
        <f t="shared" si="12"/>
        <v>ICD / Dry Port</v>
      </c>
      <c r="N444" t="str">
        <f t="shared" si="13"/>
        <v>July</v>
      </c>
    </row>
    <row r="445" spans="1:14" x14ac:dyDescent="0.3">
      <c r="A445">
        <v>1</v>
      </c>
      <c r="B445">
        <v>2021</v>
      </c>
      <c r="C445" t="s">
        <v>23</v>
      </c>
      <c r="D445">
        <v>24</v>
      </c>
      <c r="E445" t="s">
        <v>24</v>
      </c>
      <c r="F445" t="s">
        <v>194</v>
      </c>
      <c r="G445" t="s">
        <v>436</v>
      </c>
      <c r="H445" t="s">
        <v>437</v>
      </c>
      <c r="I445" t="s">
        <v>365</v>
      </c>
      <c r="J445">
        <v>1125000</v>
      </c>
      <c r="K445">
        <v>291976</v>
      </c>
      <c r="L445">
        <v>21346217</v>
      </c>
      <c r="M445" t="str">
        <f t="shared" si="12"/>
        <v>Other</v>
      </c>
      <c r="N445" t="str">
        <f t="shared" si="13"/>
        <v>January</v>
      </c>
    </row>
    <row r="446" spans="1:14" x14ac:dyDescent="0.3">
      <c r="A446">
        <v>9</v>
      </c>
      <c r="B446">
        <v>2019</v>
      </c>
      <c r="C446" t="s">
        <v>58</v>
      </c>
      <c r="D446">
        <v>27</v>
      </c>
      <c r="E446" t="s">
        <v>59</v>
      </c>
      <c r="F446" t="s">
        <v>180</v>
      </c>
      <c r="G446" t="s">
        <v>490</v>
      </c>
      <c r="H446" t="s">
        <v>491</v>
      </c>
      <c r="I446" t="s">
        <v>365</v>
      </c>
      <c r="J446">
        <v>154500</v>
      </c>
      <c r="K446">
        <v>193163</v>
      </c>
      <c r="L446">
        <v>13779009</v>
      </c>
      <c r="M446" t="str">
        <f t="shared" si="12"/>
        <v>Sea Port</v>
      </c>
      <c r="N446" t="str">
        <f t="shared" si="13"/>
        <v>September</v>
      </c>
    </row>
    <row r="447" spans="1:14" x14ac:dyDescent="0.3">
      <c r="A447">
        <v>6</v>
      </c>
      <c r="B447">
        <v>2022</v>
      </c>
      <c r="C447" t="s">
        <v>58</v>
      </c>
      <c r="D447">
        <v>27</v>
      </c>
      <c r="E447" t="s">
        <v>125</v>
      </c>
      <c r="F447" t="s">
        <v>317</v>
      </c>
      <c r="G447" t="s">
        <v>460</v>
      </c>
      <c r="H447" t="s">
        <v>461</v>
      </c>
      <c r="I447" t="s">
        <v>365</v>
      </c>
      <c r="J447">
        <v>4283</v>
      </c>
      <c r="K447">
        <v>337400</v>
      </c>
      <c r="L447">
        <v>26342377</v>
      </c>
      <c r="M447" t="str">
        <f t="shared" si="12"/>
        <v>Air Port</v>
      </c>
      <c r="N447" t="str">
        <f t="shared" si="13"/>
        <v>June</v>
      </c>
    </row>
    <row r="448" spans="1:14" x14ac:dyDescent="0.3">
      <c r="A448">
        <v>12</v>
      </c>
      <c r="B448">
        <v>2019</v>
      </c>
      <c r="C448" t="s">
        <v>28</v>
      </c>
      <c r="D448">
        <v>29</v>
      </c>
      <c r="E448" t="s">
        <v>236</v>
      </c>
      <c r="F448" t="s">
        <v>237</v>
      </c>
      <c r="G448" t="s">
        <v>363</v>
      </c>
      <c r="H448" t="s">
        <v>603</v>
      </c>
      <c r="I448" t="s">
        <v>365</v>
      </c>
      <c r="J448">
        <v>21474</v>
      </c>
      <c r="K448">
        <v>267066</v>
      </c>
      <c r="L448">
        <v>19013116</v>
      </c>
      <c r="M448" t="str">
        <f t="shared" si="12"/>
        <v>ICD / Dry Port</v>
      </c>
      <c r="N448" t="str">
        <f t="shared" si="13"/>
        <v>December</v>
      </c>
    </row>
    <row r="449" spans="1:14" x14ac:dyDescent="0.3">
      <c r="A449">
        <v>2</v>
      </c>
      <c r="B449">
        <v>2022</v>
      </c>
      <c r="C449" t="s">
        <v>132</v>
      </c>
      <c r="D449">
        <v>19</v>
      </c>
      <c r="E449" t="s">
        <v>133</v>
      </c>
      <c r="F449" t="s">
        <v>251</v>
      </c>
      <c r="G449" t="s">
        <v>604</v>
      </c>
      <c r="H449" t="s">
        <v>605</v>
      </c>
      <c r="I449" t="s">
        <v>365</v>
      </c>
      <c r="J449">
        <v>79</v>
      </c>
      <c r="K449">
        <v>795</v>
      </c>
      <c r="L449">
        <v>59608</v>
      </c>
      <c r="M449" t="str">
        <f t="shared" si="12"/>
        <v>Air Port</v>
      </c>
      <c r="N449" t="str">
        <f t="shared" si="13"/>
        <v>February</v>
      </c>
    </row>
    <row r="450" spans="1:14" x14ac:dyDescent="0.3">
      <c r="A450">
        <v>5</v>
      </c>
      <c r="B450">
        <v>2024</v>
      </c>
      <c r="C450" t="s">
        <v>42</v>
      </c>
      <c r="D450">
        <v>33</v>
      </c>
      <c r="E450" t="s">
        <v>43</v>
      </c>
      <c r="F450" t="s">
        <v>194</v>
      </c>
      <c r="G450" t="s">
        <v>460</v>
      </c>
      <c r="H450" t="s">
        <v>461</v>
      </c>
      <c r="I450" t="s">
        <v>365</v>
      </c>
      <c r="J450">
        <v>17600</v>
      </c>
      <c r="K450">
        <v>257862</v>
      </c>
      <c r="L450">
        <v>21505579</v>
      </c>
      <c r="M450" t="str">
        <f t="shared" ref="M450:M501" si="14">IF(OR(ISNUMBER(SEARCH("ICD",E450)),ISNUMBER(SEARCH("Dry Port",E450))),"ICD / Dry Port", IF(OR(ISNUMBER(SEARCH("Sea",E450)),ISNUMBER(SEARCH("Port",E450))),"Sea Port", IF(OR(ISNUMBER(SEARCH("Air",E450)),ISNUMBER(SEARCH("Airport",E450))),"Air Port", IF(ISNUMBER(SEARCH("CFS",E450)),"CFS", IF(OR(ISNUMBER(SEARCH("SEZ",E450)),ISNUMBER(SEARCH("EPZ",E450)),ISNUMBER(SEARCH("FTWZ",E450)),ISNUMBER(SEARCH("City",E450)),ISNUMBER(SEARCH("Park",E450))),"SEZ / Industrial Zone", IF(OR(ISNUMBER(SEARCH("Land",E450)),ISNUMBER(SEARCH("LCS",E450)),ISNUMBER(SEARCH("Rly",E450))),"Land Port", "Other"))))))</f>
        <v>Sea Port</v>
      </c>
      <c r="N450" t="str">
        <f t="shared" si="13"/>
        <v>May</v>
      </c>
    </row>
    <row r="451" spans="1:14" x14ac:dyDescent="0.3">
      <c r="A451">
        <v>2</v>
      </c>
      <c r="B451">
        <v>2018</v>
      </c>
      <c r="C451" t="s">
        <v>23</v>
      </c>
      <c r="D451">
        <v>24</v>
      </c>
      <c r="E451" t="s">
        <v>218</v>
      </c>
      <c r="F451" t="s">
        <v>251</v>
      </c>
      <c r="G451" t="s">
        <v>451</v>
      </c>
      <c r="H451" t="s">
        <v>524</v>
      </c>
      <c r="I451" t="s">
        <v>365</v>
      </c>
      <c r="J451">
        <v>43</v>
      </c>
      <c r="K451">
        <v>1249</v>
      </c>
      <c r="L451">
        <v>80431</v>
      </c>
      <c r="M451" t="str">
        <f t="shared" si="14"/>
        <v>Air Port</v>
      </c>
      <c r="N451" t="str">
        <f t="shared" ref="N451:N501" si="15">TEXT(DATE(2024, A451, 1), "mmmm")</f>
        <v>February</v>
      </c>
    </row>
    <row r="452" spans="1:14" x14ac:dyDescent="0.3">
      <c r="A452">
        <v>3</v>
      </c>
      <c r="B452">
        <v>2022</v>
      </c>
      <c r="C452" t="s">
        <v>137</v>
      </c>
      <c r="D452">
        <v>36</v>
      </c>
      <c r="E452" t="s">
        <v>148</v>
      </c>
      <c r="F452" t="s">
        <v>251</v>
      </c>
      <c r="G452" t="s">
        <v>123</v>
      </c>
      <c r="H452" t="s">
        <v>553</v>
      </c>
      <c r="I452" t="s">
        <v>365</v>
      </c>
      <c r="J452">
        <v>2</v>
      </c>
      <c r="K452">
        <v>2305</v>
      </c>
      <c r="L452">
        <v>175768</v>
      </c>
      <c r="M452" t="str">
        <f t="shared" si="14"/>
        <v>Sea Port</v>
      </c>
      <c r="N452" t="str">
        <f t="shared" si="15"/>
        <v>March</v>
      </c>
    </row>
    <row r="453" spans="1:14" x14ac:dyDescent="0.3">
      <c r="A453">
        <v>8</v>
      </c>
      <c r="B453">
        <v>2021</v>
      </c>
      <c r="C453" t="s">
        <v>58</v>
      </c>
      <c r="D453">
        <v>27</v>
      </c>
      <c r="E453" t="s">
        <v>59</v>
      </c>
      <c r="F453" t="s">
        <v>14</v>
      </c>
      <c r="G453" t="s">
        <v>160</v>
      </c>
      <c r="H453" t="s">
        <v>161</v>
      </c>
      <c r="I453" t="s">
        <v>365</v>
      </c>
      <c r="J453">
        <v>10560</v>
      </c>
      <c r="K453">
        <v>15303</v>
      </c>
      <c r="L453">
        <v>1135219</v>
      </c>
      <c r="M453" t="str">
        <f t="shared" si="14"/>
        <v>Sea Port</v>
      </c>
      <c r="N453" t="str">
        <f t="shared" si="15"/>
        <v>August</v>
      </c>
    </row>
    <row r="454" spans="1:14" x14ac:dyDescent="0.3">
      <c r="A454">
        <v>2</v>
      </c>
      <c r="B454">
        <v>2023</v>
      </c>
      <c r="C454" t="s">
        <v>132</v>
      </c>
      <c r="D454">
        <v>19</v>
      </c>
      <c r="E454" t="s">
        <v>133</v>
      </c>
      <c r="F454" t="s">
        <v>35</v>
      </c>
      <c r="G454" t="s">
        <v>492</v>
      </c>
      <c r="H454" t="s">
        <v>493</v>
      </c>
      <c r="I454" t="s">
        <v>365</v>
      </c>
      <c r="J454">
        <v>15</v>
      </c>
      <c r="K454">
        <v>6986</v>
      </c>
      <c r="L454">
        <v>577072</v>
      </c>
      <c r="M454" t="str">
        <f t="shared" si="14"/>
        <v>Air Port</v>
      </c>
      <c r="N454" t="str">
        <f t="shared" si="15"/>
        <v>February</v>
      </c>
    </row>
    <row r="455" spans="1:14" x14ac:dyDescent="0.3">
      <c r="A455">
        <v>12</v>
      </c>
      <c r="B455">
        <v>2023</v>
      </c>
      <c r="C455" t="s">
        <v>79</v>
      </c>
      <c r="D455">
        <v>9</v>
      </c>
      <c r="E455" t="s">
        <v>511</v>
      </c>
      <c r="F455" t="s">
        <v>105</v>
      </c>
      <c r="G455" t="s">
        <v>571</v>
      </c>
      <c r="H455" t="s">
        <v>572</v>
      </c>
      <c r="I455" t="s">
        <v>365</v>
      </c>
      <c r="J455">
        <v>766020</v>
      </c>
      <c r="K455">
        <v>76106</v>
      </c>
      <c r="L455">
        <v>6338018</v>
      </c>
      <c r="M455" t="str">
        <f t="shared" si="14"/>
        <v>ICD / Dry Port</v>
      </c>
      <c r="N455" t="str">
        <f t="shared" si="15"/>
        <v>December</v>
      </c>
    </row>
    <row r="456" spans="1:14" x14ac:dyDescent="0.3">
      <c r="A456">
        <v>12</v>
      </c>
      <c r="B456">
        <v>2021</v>
      </c>
      <c r="C456" t="s">
        <v>132</v>
      </c>
      <c r="D456">
        <v>19</v>
      </c>
      <c r="E456" t="s">
        <v>209</v>
      </c>
      <c r="F456" t="s">
        <v>241</v>
      </c>
      <c r="G456" t="s">
        <v>436</v>
      </c>
      <c r="H456" t="s">
        <v>437</v>
      </c>
      <c r="I456" t="s">
        <v>365</v>
      </c>
      <c r="J456">
        <v>6000</v>
      </c>
      <c r="K456">
        <v>19014</v>
      </c>
      <c r="L456">
        <v>1433138</v>
      </c>
      <c r="M456" t="str">
        <f t="shared" si="14"/>
        <v>Sea Port</v>
      </c>
      <c r="N456" t="str">
        <f t="shared" si="15"/>
        <v>December</v>
      </c>
    </row>
    <row r="457" spans="1:14" x14ac:dyDescent="0.3">
      <c r="A457">
        <v>5</v>
      </c>
      <c r="B457">
        <v>2023</v>
      </c>
      <c r="C457" t="s">
        <v>58</v>
      </c>
      <c r="D457">
        <v>27</v>
      </c>
      <c r="E457" t="s">
        <v>125</v>
      </c>
      <c r="F457" t="s">
        <v>180</v>
      </c>
      <c r="G457" t="s">
        <v>363</v>
      </c>
      <c r="H457" t="s">
        <v>603</v>
      </c>
      <c r="I457" t="s">
        <v>365</v>
      </c>
      <c r="J457">
        <v>353</v>
      </c>
      <c r="K457">
        <v>31926</v>
      </c>
      <c r="L457">
        <v>2628873</v>
      </c>
      <c r="M457" t="str">
        <f t="shared" si="14"/>
        <v>Air Port</v>
      </c>
      <c r="N457" t="str">
        <f t="shared" si="15"/>
        <v>May</v>
      </c>
    </row>
    <row r="458" spans="1:14" x14ac:dyDescent="0.3">
      <c r="A458">
        <v>9</v>
      </c>
      <c r="B458">
        <v>2018</v>
      </c>
      <c r="C458" t="s">
        <v>23</v>
      </c>
      <c r="D458">
        <v>24</v>
      </c>
      <c r="E458" t="s">
        <v>517</v>
      </c>
      <c r="F458" t="s">
        <v>263</v>
      </c>
      <c r="G458" t="s">
        <v>438</v>
      </c>
      <c r="H458" t="s">
        <v>439</v>
      </c>
      <c r="I458" t="s">
        <v>365</v>
      </c>
      <c r="J458">
        <v>2</v>
      </c>
      <c r="K458">
        <v>1603</v>
      </c>
      <c r="L458">
        <v>115740</v>
      </c>
      <c r="M458" t="str">
        <f t="shared" si="14"/>
        <v>Other</v>
      </c>
      <c r="N458" t="str">
        <f t="shared" si="15"/>
        <v>September</v>
      </c>
    </row>
    <row r="459" spans="1:14" x14ac:dyDescent="0.3">
      <c r="A459">
        <v>1</v>
      </c>
      <c r="B459">
        <v>2021</v>
      </c>
      <c r="C459" t="s">
        <v>58</v>
      </c>
      <c r="D459">
        <v>27</v>
      </c>
      <c r="E459" t="s">
        <v>59</v>
      </c>
      <c r="F459" t="s">
        <v>251</v>
      </c>
      <c r="G459" t="s">
        <v>480</v>
      </c>
      <c r="H459" t="s">
        <v>481</v>
      </c>
      <c r="I459" t="s">
        <v>365</v>
      </c>
      <c r="J459">
        <v>198</v>
      </c>
      <c r="K459">
        <v>1810</v>
      </c>
      <c r="L459">
        <v>132323</v>
      </c>
      <c r="M459" t="str">
        <f t="shared" si="14"/>
        <v>Sea Port</v>
      </c>
      <c r="N459" t="str">
        <f t="shared" si="15"/>
        <v>January</v>
      </c>
    </row>
    <row r="460" spans="1:14" x14ac:dyDescent="0.3">
      <c r="A460">
        <v>2</v>
      </c>
      <c r="B460">
        <v>2019</v>
      </c>
      <c r="C460" t="s">
        <v>23</v>
      </c>
      <c r="D460">
        <v>24</v>
      </c>
      <c r="E460" t="s">
        <v>24</v>
      </c>
      <c r="F460" t="s">
        <v>261</v>
      </c>
      <c r="G460" t="s">
        <v>444</v>
      </c>
      <c r="H460" t="s">
        <v>445</v>
      </c>
      <c r="I460" t="s">
        <v>365</v>
      </c>
      <c r="J460">
        <v>6000</v>
      </c>
      <c r="K460">
        <v>8552</v>
      </c>
      <c r="L460">
        <v>609063</v>
      </c>
      <c r="M460" t="str">
        <f t="shared" si="14"/>
        <v>Other</v>
      </c>
      <c r="N460" t="str">
        <f t="shared" si="15"/>
        <v>February</v>
      </c>
    </row>
    <row r="461" spans="1:14" x14ac:dyDescent="0.3">
      <c r="A461">
        <v>2</v>
      </c>
      <c r="B461">
        <v>2024</v>
      </c>
      <c r="C461" t="s">
        <v>47</v>
      </c>
      <c r="D461">
        <v>7</v>
      </c>
      <c r="E461" t="s">
        <v>48</v>
      </c>
      <c r="F461" t="s">
        <v>215</v>
      </c>
      <c r="G461" t="s">
        <v>442</v>
      </c>
      <c r="H461" t="s">
        <v>443</v>
      </c>
      <c r="I461" t="s">
        <v>365</v>
      </c>
      <c r="J461">
        <v>5224</v>
      </c>
      <c r="K461">
        <v>65125</v>
      </c>
      <c r="L461">
        <v>5402983</v>
      </c>
      <c r="M461" t="str">
        <f t="shared" si="14"/>
        <v>Air Port</v>
      </c>
      <c r="N461" t="str">
        <f t="shared" si="15"/>
        <v>February</v>
      </c>
    </row>
    <row r="462" spans="1:14" x14ac:dyDescent="0.3">
      <c r="A462">
        <v>2</v>
      </c>
      <c r="B462">
        <v>2022</v>
      </c>
      <c r="C462" t="s">
        <v>58</v>
      </c>
      <c r="D462">
        <v>27</v>
      </c>
      <c r="E462" t="s">
        <v>59</v>
      </c>
      <c r="F462" t="s">
        <v>153</v>
      </c>
      <c r="G462" t="s">
        <v>500</v>
      </c>
      <c r="H462" t="s">
        <v>501</v>
      </c>
      <c r="I462" t="s">
        <v>365</v>
      </c>
      <c r="J462">
        <v>1653340</v>
      </c>
      <c r="K462">
        <v>7724790</v>
      </c>
      <c r="L462">
        <v>579383339</v>
      </c>
      <c r="M462" t="str">
        <f t="shared" si="14"/>
        <v>Sea Port</v>
      </c>
      <c r="N462" t="str">
        <f t="shared" si="15"/>
        <v>February</v>
      </c>
    </row>
    <row r="463" spans="1:14" x14ac:dyDescent="0.3">
      <c r="A463">
        <v>1</v>
      </c>
      <c r="B463">
        <v>2018</v>
      </c>
      <c r="C463" t="s">
        <v>58</v>
      </c>
      <c r="D463">
        <v>27</v>
      </c>
      <c r="E463" t="s">
        <v>290</v>
      </c>
      <c r="F463" t="s">
        <v>90</v>
      </c>
      <c r="G463" t="s">
        <v>474</v>
      </c>
      <c r="H463" t="s">
        <v>475</v>
      </c>
      <c r="I463" t="s">
        <v>365</v>
      </c>
      <c r="J463">
        <v>3000</v>
      </c>
      <c r="K463">
        <v>16268</v>
      </c>
      <c r="L463">
        <v>1035225</v>
      </c>
      <c r="M463" t="str">
        <f t="shared" si="14"/>
        <v>SEZ / Industrial Zone</v>
      </c>
      <c r="N463" t="str">
        <f t="shared" si="15"/>
        <v>January</v>
      </c>
    </row>
    <row r="464" spans="1:14" x14ac:dyDescent="0.3">
      <c r="A464">
        <v>11</v>
      </c>
      <c r="B464">
        <v>2022</v>
      </c>
      <c r="C464" t="s">
        <v>23</v>
      </c>
      <c r="D464">
        <v>24</v>
      </c>
      <c r="E464" t="s">
        <v>24</v>
      </c>
      <c r="F464" t="s">
        <v>354</v>
      </c>
      <c r="G464" t="s">
        <v>606</v>
      </c>
      <c r="H464" t="s">
        <v>607</v>
      </c>
      <c r="I464" t="s">
        <v>365</v>
      </c>
      <c r="J464">
        <v>74330</v>
      </c>
      <c r="K464">
        <v>35816</v>
      </c>
      <c r="L464">
        <v>2930130</v>
      </c>
      <c r="M464" t="str">
        <f t="shared" si="14"/>
        <v>Other</v>
      </c>
      <c r="N464" t="str">
        <f t="shared" si="15"/>
        <v>November</v>
      </c>
    </row>
    <row r="465" spans="1:14" x14ac:dyDescent="0.3">
      <c r="A465">
        <v>3</v>
      </c>
      <c r="B465">
        <v>2020</v>
      </c>
      <c r="C465" t="s">
        <v>58</v>
      </c>
      <c r="D465">
        <v>27</v>
      </c>
      <c r="E465" t="s">
        <v>59</v>
      </c>
      <c r="F465" t="s">
        <v>193</v>
      </c>
      <c r="G465" t="s">
        <v>453</v>
      </c>
      <c r="H465" t="s">
        <v>454</v>
      </c>
      <c r="I465" t="s">
        <v>365</v>
      </c>
      <c r="J465">
        <v>15605</v>
      </c>
      <c r="K465">
        <v>228218</v>
      </c>
      <c r="L465">
        <v>16968199</v>
      </c>
      <c r="M465" t="str">
        <f t="shared" si="14"/>
        <v>Sea Port</v>
      </c>
      <c r="N465" t="str">
        <f t="shared" si="15"/>
        <v>March</v>
      </c>
    </row>
    <row r="466" spans="1:14" x14ac:dyDescent="0.3">
      <c r="A466">
        <v>4</v>
      </c>
      <c r="B466">
        <v>2024</v>
      </c>
      <c r="C466" t="s">
        <v>47</v>
      </c>
      <c r="D466">
        <v>7</v>
      </c>
      <c r="E466" t="s">
        <v>48</v>
      </c>
      <c r="F466" t="s">
        <v>257</v>
      </c>
      <c r="G466" t="s">
        <v>460</v>
      </c>
      <c r="H466" t="s">
        <v>461</v>
      </c>
      <c r="I466" t="s">
        <v>365</v>
      </c>
      <c r="J466">
        <v>450</v>
      </c>
      <c r="K466">
        <v>6234</v>
      </c>
      <c r="L466">
        <v>519937</v>
      </c>
      <c r="M466" t="str">
        <f t="shared" si="14"/>
        <v>Air Port</v>
      </c>
      <c r="N466" t="str">
        <f t="shared" si="15"/>
        <v>April</v>
      </c>
    </row>
    <row r="467" spans="1:14" x14ac:dyDescent="0.3">
      <c r="A467">
        <v>4</v>
      </c>
      <c r="B467">
        <v>2023</v>
      </c>
      <c r="C467" t="s">
        <v>23</v>
      </c>
      <c r="D467">
        <v>24</v>
      </c>
      <c r="E467" t="s">
        <v>577</v>
      </c>
      <c r="F467" t="s">
        <v>118</v>
      </c>
      <c r="G467" t="s">
        <v>160</v>
      </c>
      <c r="H467" t="s">
        <v>161</v>
      </c>
      <c r="I467" t="s">
        <v>365</v>
      </c>
      <c r="J467">
        <v>9000</v>
      </c>
      <c r="K467">
        <v>1046964</v>
      </c>
      <c r="L467">
        <v>85872798</v>
      </c>
      <c r="M467" t="str">
        <f t="shared" si="14"/>
        <v>SEZ / Industrial Zone</v>
      </c>
      <c r="N467" t="str">
        <f t="shared" si="15"/>
        <v>April</v>
      </c>
    </row>
    <row r="468" spans="1:14" x14ac:dyDescent="0.3">
      <c r="A468">
        <v>12</v>
      </c>
      <c r="B468">
        <v>2023</v>
      </c>
      <c r="C468" t="s">
        <v>12</v>
      </c>
      <c r="D468">
        <v>8</v>
      </c>
      <c r="E468" t="s">
        <v>426</v>
      </c>
      <c r="F468" t="s">
        <v>35</v>
      </c>
      <c r="G468" t="s">
        <v>494</v>
      </c>
      <c r="H468" t="s">
        <v>526</v>
      </c>
      <c r="I468" t="s">
        <v>365</v>
      </c>
      <c r="J468">
        <v>35242</v>
      </c>
      <c r="K468">
        <v>527615</v>
      </c>
      <c r="L468">
        <v>43939011</v>
      </c>
      <c r="M468" t="str">
        <f t="shared" si="14"/>
        <v>Other</v>
      </c>
      <c r="N468" t="str">
        <f t="shared" si="15"/>
        <v>December</v>
      </c>
    </row>
    <row r="469" spans="1:14" x14ac:dyDescent="0.3">
      <c r="A469">
        <v>10</v>
      </c>
      <c r="B469">
        <v>2021</v>
      </c>
      <c r="C469" t="s">
        <v>18</v>
      </c>
      <c r="D469">
        <v>6</v>
      </c>
      <c r="E469" t="s">
        <v>166</v>
      </c>
      <c r="F469" t="s">
        <v>90</v>
      </c>
      <c r="G469" t="s">
        <v>436</v>
      </c>
      <c r="H469" t="s">
        <v>437</v>
      </c>
      <c r="I469" t="s">
        <v>365</v>
      </c>
      <c r="J469">
        <v>104000</v>
      </c>
      <c r="K469">
        <v>49724</v>
      </c>
      <c r="L469">
        <v>3725059</v>
      </c>
      <c r="M469" t="str">
        <f t="shared" si="14"/>
        <v>ICD / Dry Port</v>
      </c>
      <c r="N469" t="str">
        <f t="shared" si="15"/>
        <v>October</v>
      </c>
    </row>
    <row r="470" spans="1:14" x14ac:dyDescent="0.3">
      <c r="A470">
        <v>3</v>
      </c>
      <c r="B470">
        <v>2022</v>
      </c>
      <c r="C470" t="s">
        <v>42</v>
      </c>
      <c r="D470">
        <v>33</v>
      </c>
      <c r="E470" t="s">
        <v>111</v>
      </c>
      <c r="F470" t="s">
        <v>251</v>
      </c>
      <c r="G470" t="s">
        <v>503</v>
      </c>
      <c r="H470" t="s">
        <v>504</v>
      </c>
      <c r="I470" t="s">
        <v>365</v>
      </c>
      <c r="J470">
        <v>6</v>
      </c>
      <c r="K470">
        <v>1302</v>
      </c>
      <c r="L470">
        <v>99254</v>
      </c>
      <c r="M470" t="str">
        <f t="shared" si="14"/>
        <v>Air Port</v>
      </c>
      <c r="N470" t="str">
        <f t="shared" si="15"/>
        <v>March</v>
      </c>
    </row>
    <row r="471" spans="1:14" x14ac:dyDescent="0.3">
      <c r="A471">
        <v>10</v>
      </c>
      <c r="B471">
        <v>2019</v>
      </c>
      <c r="C471" t="s">
        <v>58</v>
      </c>
      <c r="D471">
        <v>27</v>
      </c>
      <c r="E471" t="s">
        <v>125</v>
      </c>
      <c r="F471" t="s">
        <v>237</v>
      </c>
      <c r="G471" t="s">
        <v>375</v>
      </c>
      <c r="H471" t="s">
        <v>376</v>
      </c>
      <c r="I471" t="s">
        <v>365</v>
      </c>
      <c r="J471">
        <v>4</v>
      </c>
      <c r="K471">
        <v>1840</v>
      </c>
      <c r="L471">
        <v>130741</v>
      </c>
      <c r="M471" t="str">
        <f t="shared" si="14"/>
        <v>Air Port</v>
      </c>
      <c r="N471" t="str">
        <f t="shared" si="15"/>
        <v>October</v>
      </c>
    </row>
    <row r="472" spans="1:14" x14ac:dyDescent="0.3">
      <c r="A472">
        <v>12</v>
      </c>
      <c r="B472">
        <v>2022</v>
      </c>
      <c r="C472" t="s">
        <v>23</v>
      </c>
      <c r="D472">
        <v>24</v>
      </c>
      <c r="E472" t="s">
        <v>218</v>
      </c>
      <c r="F472" t="s">
        <v>35</v>
      </c>
      <c r="G472" t="s">
        <v>460</v>
      </c>
      <c r="H472" t="s">
        <v>461</v>
      </c>
      <c r="I472" t="s">
        <v>365</v>
      </c>
      <c r="J472">
        <v>93</v>
      </c>
      <c r="K472">
        <v>92073</v>
      </c>
      <c r="L472">
        <v>7592743</v>
      </c>
      <c r="M472" t="str">
        <f t="shared" si="14"/>
        <v>Air Port</v>
      </c>
      <c r="N472" t="str">
        <f t="shared" si="15"/>
        <v>December</v>
      </c>
    </row>
    <row r="473" spans="1:14" x14ac:dyDescent="0.3">
      <c r="A473">
        <v>12</v>
      </c>
      <c r="B473">
        <v>2023</v>
      </c>
      <c r="C473" t="s">
        <v>58</v>
      </c>
      <c r="D473">
        <v>27</v>
      </c>
      <c r="E473" t="s">
        <v>533</v>
      </c>
      <c r="F473" t="s">
        <v>90</v>
      </c>
      <c r="G473" t="s">
        <v>457</v>
      </c>
      <c r="H473" t="s">
        <v>458</v>
      </c>
      <c r="I473" t="s">
        <v>365</v>
      </c>
      <c r="J473">
        <v>288</v>
      </c>
      <c r="K473">
        <v>214</v>
      </c>
      <c r="L473">
        <v>17860</v>
      </c>
      <c r="M473" t="str">
        <f t="shared" si="14"/>
        <v>Sea Port</v>
      </c>
      <c r="N473" t="str">
        <f t="shared" si="15"/>
        <v>December</v>
      </c>
    </row>
    <row r="474" spans="1:14" x14ac:dyDescent="0.3">
      <c r="A474">
        <v>8</v>
      </c>
      <c r="B474">
        <v>2022</v>
      </c>
      <c r="C474" t="s">
        <v>18</v>
      </c>
      <c r="D474">
        <v>6</v>
      </c>
      <c r="E474" t="s">
        <v>19</v>
      </c>
      <c r="F474" t="s">
        <v>108</v>
      </c>
      <c r="G474" t="s">
        <v>123</v>
      </c>
      <c r="H474" t="s">
        <v>553</v>
      </c>
      <c r="I474" t="s">
        <v>365</v>
      </c>
      <c r="J474">
        <v>82850</v>
      </c>
      <c r="K474">
        <v>1142898</v>
      </c>
      <c r="L474">
        <v>90923250</v>
      </c>
      <c r="M474" t="str">
        <f t="shared" si="14"/>
        <v>ICD / Dry Port</v>
      </c>
      <c r="N474" t="str">
        <f t="shared" si="15"/>
        <v>August</v>
      </c>
    </row>
    <row r="475" spans="1:14" x14ac:dyDescent="0.3">
      <c r="A475">
        <v>11</v>
      </c>
      <c r="B475">
        <v>2023</v>
      </c>
      <c r="C475" t="s">
        <v>58</v>
      </c>
      <c r="D475">
        <v>27</v>
      </c>
      <c r="E475" t="s">
        <v>59</v>
      </c>
      <c r="F475" t="s">
        <v>68</v>
      </c>
      <c r="G475" t="s">
        <v>500</v>
      </c>
      <c r="H475" t="s">
        <v>501</v>
      </c>
      <c r="I475" t="s">
        <v>365</v>
      </c>
      <c r="J475">
        <v>4724174</v>
      </c>
      <c r="K475">
        <v>6503015</v>
      </c>
      <c r="L475">
        <v>541688122</v>
      </c>
      <c r="M475" t="str">
        <f t="shared" si="14"/>
        <v>Sea Port</v>
      </c>
      <c r="N475" t="str">
        <f t="shared" si="15"/>
        <v>November</v>
      </c>
    </row>
    <row r="476" spans="1:14" x14ac:dyDescent="0.3">
      <c r="A476">
        <v>2</v>
      </c>
      <c r="B476">
        <v>2022</v>
      </c>
      <c r="C476" t="s">
        <v>42</v>
      </c>
      <c r="D476">
        <v>33</v>
      </c>
      <c r="E476" t="s">
        <v>111</v>
      </c>
      <c r="F476" t="s">
        <v>108</v>
      </c>
      <c r="G476" t="s">
        <v>160</v>
      </c>
      <c r="H476" t="s">
        <v>161</v>
      </c>
      <c r="I476" t="s">
        <v>365</v>
      </c>
      <c r="J476">
        <v>294</v>
      </c>
      <c r="K476">
        <v>21556</v>
      </c>
      <c r="L476">
        <v>1616740</v>
      </c>
      <c r="M476" t="str">
        <f t="shared" si="14"/>
        <v>Air Port</v>
      </c>
      <c r="N476" t="str">
        <f t="shared" si="15"/>
        <v>February</v>
      </c>
    </row>
    <row r="477" spans="1:14" x14ac:dyDescent="0.3">
      <c r="A477">
        <v>9</v>
      </c>
      <c r="B477">
        <v>2018</v>
      </c>
      <c r="C477" t="s">
        <v>42</v>
      </c>
      <c r="D477">
        <v>33</v>
      </c>
      <c r="E477" t="s">
        <v>111</v>
      </c>
      <c r="F477" t="s">
        <v>131</v>
      </c>
      <c r="G477" t="s">
        <v>457</v>
      </c>
      <c r="H477" t="s">
        <v>458</v>
      </c>
      <c r="I477" t="s">
        <v>365</v>
      </c>
      <c r="J477">
        <v>47</v>
      </c>
      <c r="K477">
        <v>9339</v>
      </c>
      <c r="L477">
        <v>674436</v>
      </c>
      <c r="M477" t="str">
        <f t="shared" si="14"/>
        <v>Air Port</v>
      </c>
      <c r="N477" t="str">
        <f t="shared" si="15"/>
        <v>September</v>
      </c>
    </row>
    <row r="478" spans="1:14" x14ac:dyDescent="0.3">
      <c r="A478">
        <v>11</v>
      </c>
      <c r="B478">
        <v>2019</v>
      </c>
      <c r="C478" t="s">
        <v>47</v>
      </c>
      <c r="D478">
        <v>7</v>
      </c>
      <c r="E478" t="s">
        <v>48</v>
      </c>
      <c r="F478" t="s">
        <v>251</v>
      </c>
      <c r="G478" t="s">
        <v>478</v>
      </c>
      <c r="H478" t="s">
        <v>479</v>
      </c>
      <c r="I478" t="s">
        <v>365</v>
      </c>
      <c r="J478">
        <v>403</v>
      </c>
      <c r="K478">
        <v>7750</v>
      </c>
      <c r="L478">
        <v>553779</v>
      </c>
      <c r="M478" t="str">
        <f t="shared" si="14"/>
        <v>Air Port</v>
      </c>
      <c r="N478" t="str">
        <f t="shared" si="15"/>
        <v>November</v>
      </c>
    </row>
    <row r="479" spans="1:14" x14ac:dyDescent="0.3">
      <c r="A479">
        <v>11</v>
      </c>
      <c r="B479">
        <v>2018</v>
      </c>
      <c r="C479" t="s">
        <v>47</v>
      </c>
      <c r="D479">
        <v>7</v>
      </c>
      <c r="E479" t="s">
        <v>51</v>
      </c>
      <c r="F479" t="s">
        <v>294</v>
      </c>
      <c r="G479" t="s">
        <v>490</v>
      </c>
      <c r="H479" t="s">
        <v>491</v>
      </c>
      <c r="I479" t="s">
        <v>365</v>
      </c>
      <c r="J479">
        <v>25000</v>
      </c>
      <c r="K479">
        <v>7999</v>
      </c>
      <c r="L479">
        <v>574777</v>
      </c>
      <c r="M479" t="str">
        <f t="shared" si="14"/>
        <v>ICD / Dry Port</v>
      </c>
      <c r="N479" t="str">
        <f t="shared" si="15"/>
        <v>November</v>
      </c>
    </row>
    <row r="480" spans="1:14" x14ac:dyDescent="0.3">
      <c r="A480">
        <v>1</v>
      </c>
      <c r="B480">
        <v>2019</v>
      </c>
      <c r="C480" t="s">
        <v>47</v>
      </c>
      <c r="D480">
        <v>7</v>
      </c>
      <c r="E480" t="s">
        <v>48</v>
      </c>
      <c r="F480" t="s">
        <v>237</v>
      </c>
      <c r="G480" t="s">
        <v>375</v>
      </c>
      <c r="H480" t="s">
        <v>376</v>
      </c>
      <c r="I480" t="s">
        <v>365</v>
      </c>
      <c r="J480">
        <v>1</v>
      </c>
      <c r="K480">
        <v>26189</v>
      </c>
      <c r="L480">
        <v>1852399</v>
      </c>
      <c r="M480" t="str">
        <f t="shared" si="14"/>
        <v>Air Port</v>
      </c>
      <c r="N480" t="str">
        <f t="shared" si="15"/>
        <v>January</v>
      </c>
    </row>
    <row r="481" spans="1:14" x14ac:dyDescent="0.3">
      <c r="A481">
        <v>1</v>
      </c>
      <c r="B481">
        <v>2019</v>
      </c>
      <c r="C481" t="s">
        <v>58</v>
      </c>
      <c r="D481">
        <v>27</v>
      </c>
      <c r="E481" t="s">
        <v>310</v>
      </c>
      <c r="F481" t="s">
        <v>265</v>
      </c>
      <c r="G481" t="s">
        <v>363</v>
      </c>
      <c r="H481" t="s">
        <v>603</v>
      </c>
      <c r="I481" t="s">
        <v>365</v>
      </c>
      <c r="J481">
        <v>1</v>
      </c>
      <c r="K481">
        <v>1278</v>
      </c>
      <c r="L481">
        <v>90422</v>
      </c>
      <c r="M481" t="str">
        <f t="shared" si="14"/>
        <v>SEZ / Industrial Zone</v>
      </c>
      <c r="N481" t="str">
        <f t="shared" si="15"/>
        <v>January</v>
      </c>
    </row>
    <row r="482" spans="1:14" x14ac:dyDescent="0.3">
      <c r="A482">
        <v>1</v>
      </c>
      <c r="B482">
        <v>2018</v>
      </c>
      <c r="C482" t="s">
        <v>132</v>
      </c>
      <c r="D482">
        <v>19</v>
      </c>
      <c r="E482" t="s">
        <v>133</v>
      </c>
      <c r="F482" t="s">
        <v>90</v>
      </c>
      <c r="G482" t="s">
        <v>474</v>
      </c>
      <c r="H482" t="s">
        <v>475</v>
      </c>
      <c r="I482" t="s">
        <v>365</v>
      </c>
      <c r="J482">
        <v>1120</v>
      </c>
      <c r="K482">
        <v>15053</v>
      </c>
      <c r="L482">
        <v>957906</v>
      </c>
      <c r="M482" t="str">
        <f t="shared" si="14"/>
        <v>Air Port</v>
      </c>
      <c r="N482" t="str">
        <f t="shared" si="15"/>
        <v>January</v>
      </c>
    </row>
    <row r="483" spans="1:14" x14ac:dyDescent="0.3">
      <c r="A483">
        <v>12</v>
      </c>
      <c r="B483">
        <v>2018</v>
      </c>
      <c r="C483" t="s">
        <v>275</v>
      </c>
      <c r="D483">
        <v>28</v>
      </c>
      <c r="E483" t="s">
        <v>591</v>
      </c>
      <c r="F483" t="s">
        <v>237</v>
      </c>
      <c r="G483" t="s">
        <v>474</v>
      </c>
      <c r="H483" t="s">
        <v>475</v>
      </c>
      <c r="I483" t="s">
        <v>365</v>
      </c>
      <c r="J483">
        <v>21930</v>
      </c>
      <c r="K483">
        <v>98281</v>
      </c>
      <c r="L483">
        <v>6951530</v>
      </c>
      <c r="M483" t="str">
        <f t="shared" si="14"/>
        <v>Other</v>
      </c>
      <c r="N483" t="str">
        <f t="shared" si="15"/>
        <v>December</v>
      </c>
    </row>
    <row r="484" spans="1:14" x14ac:dyDescent="0.3">
      <c r="A484">
        <v>5</v>
      </c>
      <c r="B484">
        <v>2023</v>
      </c>
      <c r="C484" t="s">
        <v>58</v>
      </c>
      <c r="D484">
        <v>27</v>
      </c>
      <c r="E484" t="s">
        <v>59</v>
      </c>
      <c r="F484" t="s">
        <v>105</v>
      </c>
      <c r="G484" t="s">
        <v>436</v>
      </c>
      <c r="H484" t="s">
        <v>437</v>
      </c>
      <c r="I484" t="s">
        <v>365</v>
      </c>
      <c r="J484">
        <v>934739</v>
      </c>
      <c r="K484">
        <v>3271508</v>
      </c>
      <c r="L484">
        <v>269386774</v>
      </c>
      <c r="M484" t="str">
        <f t="shared" si="14"/>
        <v>Sea Port</v>
      </c>
      <c r="N484" t="str">
        <f t="shared" si="15"/>
        <v>May</v>
      </c>
    </row>
    <row r="485" spans="1:14" x14ac:dyDescent="0.3">
      <c r="A485">
        <v>9</v>
      </c>
      <c r="B485">
        <v>2022</v>
      </c>
      <c r="C485" t="s">
        <v>23</v>
      </c>
      <c r="D485">
        <v>24</v>
      </c>
      <c r="E485" t="s">
        <v>24</v>
      </c>
      <c r="F485" t="s">
        <v>115</v>
      </c>
      <c r="G485" t="s">
        <v>604</v>
      </c>
      <c r="H485" t="s">
        <v>605</v>
      </c>
      <c r="I485" t="s">
        <v>365</v>
      </c>
      <c r="J485">
        <v>6650</v>
      </c>
      <c r="K485">
        <v>82454</v>
      </c>
      <c r="L485">
        <v>6615424</v>
      </c>
      <c r="M485" t="str">
        <f t="shared" si="14"/>
        <v>Other</v>
      </c>
      <c r="N485" t="str">
        <f t="shared" si="15"/>
        <v>September</v>
      </c>
    </row>
    <row r="486" spans="1:14" x14ac:dyDescent="0.3">
      <c r="A486">
        <v>2</v>
      </c>
      <c r="B486">
        <v>2024</v>
      </c>
      <c r="C486" t="s">
        <v>42</v>
      </c>
      <c r="D486">
        <v>33</v>
      </c>
      <c r="E486" t="s">
        <v>352</v>
      </c>
      <c r="F486" t="s">
        <v>35</v>
      </c>
      <c r="G486" t="s">
        <v>451</v>
      </c>
      <c r="H486" t="s">
        <v>524</v>
      </c>
      <c r="I486" t="s">
        <v>365</v>
      </c>
      <c r="J486">
        <v>10</v>
      </c>
      <c r="K486">
        <v>4038</v>
      </c>
      <c r="L486">
        <v>335047</v>
      </c>
      <c r="M486" t="str">
        <f t="shared" si="14"/>
        <v>SEZ / Industrial Zone</v>
      </c>
      <c r="N486" t="str">
        <f t="shared" si="15"/>
        <v>February</v>
      </c>
    </row>
    <row r="487" spans="1:14" x14ac:dyDescent="0.3">
      <c r="A487">
        <v>3</v>
      </c>
      <c r="B487">
        <v>2022</v>
      </c>
      <c r="C487" t="s">
        <v>275</v>
      </c>
      <c r="D487">
        <v>28</v>
      </c>
      <c r="E487" t="s">
        <v>608</v>
      </c>
      <c r="F487" t="s">
        <v>193</v>
      </c>
      <c r="G487" t="s">
        <v>123</v>
      </c>
      <c r="H487" t="s">
        <v>553</v>
      </c>
      <c r="I487" t="s">
        <v>365</v>
      </c>
      <c r="J487">
        <v>40934</v>
      </c>
      <c r="K487">
        <v>1092176</v>
      </c>
      <c r="L487">
        <v>83272424</v>
      </c>
      <c r="M487" t="str">
        <f t="shared" si="14"/>
        <v>Sea Port</v>
      </c>
      <c r="N487" t="str">
        <f t="shared" si="15"/>
        <v>March</v>
      </c>
    </row>
    <row r="488" spans="1:14" x14ac:dyDescent="0.3">
      <c r="A488">
        <v>10</v>
      </c>
      <c r="B488">
        <v>2022</v>
      </c>
      <c r="C488" t="s">
        <v>23</v>
      </c>
      <c r="D488">
        <v>24</v>
      </c>
      <c r="E488" t="s">
        <v>218</v>
      </c>
      <c r="F488" t="s">
        <v>190</v>
      </c>
      <c r="G488" t="s">
        <v>451</v>
      </c>
      <c r="H488" t="s">
        <v>524</v>
      </c>
      <c r="I488" t="s">
        <v>365</v>
      </c>
      <c r="J488">
        <v>108</v>
      </c>
      <c r="K488">
        <v>3466</v>
      </c>
      <c r="L488">
        <v>285413</v>
      </c>
      <c r="M488" t="str">
        <f t="shared" si="14"/>
        <v>Air Port</v>
      </c>
      <c r="N488" t="str">
        <f t="shared" si="15"/>
        <v>October</v>
      </c>
    </row>
    <row r="489" spans="1:14" x14ac:dyDescent="0.3">
      <c r="A489">
        <v>2</v>
      </c>
      <c r="B489">
        <v>2020</v>
      </c>
      <c r="C489" t="s">
        <v>28</v>
      </c>
      <c r="D489">
        <v>29</v>
      </c>
      <c r="E489" t="s">
        <v>29</v>
      </c>
      <c r="F489" t="s">
        <v>131</v>
      </c>
      <c r="G489" t="s">
        <v>467</v>
      </c>
      <c r="H489" t="s">
        <v>468</v>
      </c>
      <c r="I489" t="s">
        <v>365</v>
      </c>
      <c r="J489">
        <v>31</v>
      </c>
      <c r="K489">
        <v>6153</v>
      </c>
      <c r="L489">
        <v>439885</v>
      </c>
      <c r="M489" t="str">
        <f t="shared" si="14"/>
        <v>Sea Port</v>
      </c>
      <c r="N489" t="str">
        <f t="shared" si="15"/>
        <v>February</v>
      </c>
    </row>
    <row r="490" spans="1:14" x14ac:dyDescent="0.3">
      <c r="A490">
        <v>2</v>
      </c>
      <c r="B490">
        <v>2024</v>
      </c>
      <c r="C490" t="s">
        <v>58</v>
      </c>
      <c r="D490">
        <v>27</v>
      </c>
      <c r="E490" t="s">
        <v>59</v>
      </c>
      <c r="F490" t="s">
        <v>265</v>
      </c>
      <c r="G490" t="s">
        <v>123</v>
      </c>
      <c r="H490" t="s">
        <v>553</v>
      </c>
      <c r="I490" t="s">
        <v>365</v>
      </c>
      <c r="J490">
        <v>11</v>
      </c>
      <c r="K490">
        <v>1525</v>
      </c>
      <c r="L490">
        <v>126547</v>
      </c>
      <c r="M490" t="str">
        <f t="shared" si="14"/>
        <v>Sea Port</v>
      </c>
      <c r="N490" t="str">
        <f t="shared" si="15"/>
        <v>February</v>
      </c>
    </row>
    <row r="491" spans="1:14" x14ac:dyDescent="0.3">
      <c r="A491">
        <v>9</v>
      </c>
      <c r="B491">
        <v>2021</v>
      </c>
      <c r="C491" t="s">
        <v>42</v>
      </c>
      <c r="D491">
        <v>33</v>
      </c>
      <c r="E491" t="s">
        <v>111</v>
      </c>
      <c r="F491" t="s">
        <v>14</v>
      </c>
      <c r="G491" t="s">
        <v>123</v>
      </c>
      <c r="H491" t="s">
        <v>553</v>
      </c>
      <c r="I491" t="s">
        <v>365</v>
      </c>
      <c r="J491">
        <v>5059</v>
      </c>
      <c r="K491">
        <v>260294</v>
      </c>
      <c r="L491">
        <v>19148140</v>
      </c>
      <c r="M491" t="str">
        <f t="shared" si="14"/>
        <v>Air Port</v>
      </c>
      <c r="N491" t="str">
        <f t="shared" si="15"/>
        <v>September</v>
      </c>
    </row>
    <row r="492" spans="1:14" x14ac:dyDescent="0.3">
      <c r="A492">
        <v>10</v>
      </c>
      <c r="B492">
        <v>2019</v>
      </c>
      <c r="C492" t="s">
        <v>47</v>
      </c>
      <c r="D492">
        <v>7</v>
      </c>
      <c r="E492" t="s">
        <v>51</v>
      </c>
      <c r="F492" t="s">
        <v>90</v>
      </c>
      <c r="G492" t="s">
        <v>492</v>
      </c>
      <c r="H492" t="s">
        <v>493</v>
      </c>
      <c r="I492" t="s">
        <v>365</v>
      </c>
      <c r="J492">
        <v>2829</v>
      </c>
      <c r="K492">
        <v>37434</v>
      </c>
      <c r="L492">
        <v>2659305</v>
      </c>
      <c r="M492" t="str">
        <f t="shared" si="14"/>
        <v>ICD / Dry Port</v>
      </c>
      <c r="N492" t="str">
        <f t="shared" si="15"/>
        <v>October</v>
      </c>
    </row>
    <row r="493" spans="1:14" x14ac:dyDescent="0.3">
      <c r="A493">
        <v>2</v>
      </c>
      <c r="B493">
        <v>2024</v>
      </c>
      <c r="C493" t="s">
        <v>42</v>
      </c>
      <c r="D493">
        <v>33</v>
      </c>
      <c r="E493" t="s">
        <v>111</v>
      </c>
      <c r="F493" t="s">
        <v>118</v>
      </c>
      <c r="G493" t="s">
        <v>604</v>
      </c>
      <c r="H493" t="s">
        <v>605</v>
      </c>
      <c r="I493" t="s">
        <v>365</v>
      </c>
      <c r="J493">
        <v>4885</v>
      </c>
      <c r="K493">
        <v>175438</v>
      </c>
      <c r="L493">
        <v>14554950</v>
      </c>
      <c r="M493" t="str">
        <f t="shared" si="14"/>
        <v>Air Port</v>
      </c>
      <c r="N493" t="str">
        <f t="shared" si="15"/>
        <v>February</v>
      </c>
    </row>
    <row r="494" spans="1:14" x14ac:dyDescent="0.3">
      <c r="A494">
        <v>10</v>
      </c>
      <c r="B494">
        <v>2023</v>
      </c>
      <c r="C494" t="s">
        <v>58</v>
      </c>
      <c r="D494">
        <v>27</v>
      </c>
      <c r="E494" t="s">
        <v>59</v>
      </c>
      <c r="F494" t="s">
        <v>251</v>
      </c>
      <c r="G494" t="s">
        <v>609</v>
      </c>
      <c r="H494" t="s">
        <v>610</v>
      </c>
      <c r="I494" t="s">
        <v>365</v>
      </c>
      <c r="J494">
        <v>1440</v>
      </c>
      <c r="K494">
        <v>5468</v>
      </c>
      <c r="L494">
        <v>455145</v>
      </c>
      <c r="M494" t="str">
        <f t="shared" si="14"/>
        <v>Sea Port</v>
      </c>
      <c r="N494" t="str">
        <f t="shared" si="15"/>
        <v>October</v>
      </c>
    </row>
    <row r="495" spans="1:14" x14ac:dyDescent="0.3">
      <c r="A495">
        <v>2</v>
      </c>
      <c r="B495">
        <v>2022</v>
      </c>
      <c r="C495" t="s">
        <v>47</v>
      </c>
      <c r="D495">
        <v>7</v>
      </c>
      <c r="E495" t="s">
        <v>51</v>
      </c>
      <c r="F495" t="s">
        <v>108</v>
      </c>
      <c r="G495" t="s">
        <v>451</v>
      </c>
      <c r="H495" t="s">
        <v>524</v>
      </c>
      <c r="I495" t="s">
        <v>365</v>
      </c>
      <c r="J495">
        <v>25609</v>
      </c>
      <c r="K495">
        <v>214371</v>
      </c>
      <c r="L495">
        <v>16078466</v>
      </c>
      <c r="M495" t="str">
        <f t="shared" si="14"/>
        <v>ICD / Dry Port</v>
      </c>
      <c r="N495" t="str">
        <f t="shared" si="15"/>
        <v>February</v>
      </c>
    </row>
    <row r="496" spans="1:14" x14ac:dyDescent="0.3">
      <c r="A496">
        <v>5</v>
      </c>
      <c r="B496">
        <v>2019</v>
      </c>
      <c r="C496" t="s">
        <v>47</v>
      </c>
      <c r="D496">
        <v>7</v>
      </c>
      <c r="E496" t="s">
        <v>48</v>
      </c>
      <c r="F496" t="s">
        <v>263</v>
      </c>
      <c r="G496" t="s">
        <v>474</v>
      </c>
      <c r="H496" t="s">
        <v>475</v>
      </c>
      <c r="I496" t="s">
        <v>365</v>
      </c>
      <c r="J496">
        <v>1680</v>
      </c>
      <c r="K496">
        <v>19289</v>
      </c>
      <c r="L496">
        <v>1345843</v>
      </c>
      <c r="M496" t="str">
        <f t="shared" si="14"/>
        <v>Air Port</v>
      </c>
      <c r="N496" t="str">
        <f t="shared" si="15"/>
        <v>May</v>
      </c>
    </row>
    <row r="497" spans="1:14" x14ac:dyDescent="0.3">
      <c r="A497">
        <v>3</v>
      </c>
      <c r="B497">
        <v>2024</v>
      </c>
      <c r="C497" t="s">
        <v>33</v>
      </c>
      <c r="D497">
        <v>32</v>
      </c>
      <c r="E497" t="s">
        <v>34</v>
      </c>
      <c r="F497" t="s">
        <v>153</v>
      </c>
      <c r="G497" t="s">
        <v>363</v>
      </c>
      <c r="H497" t="s">
        <v>603</v>
      </c>
      <c r="I497" t="s">
        <v>365</v>
      </c>
      <c r="J497">
        <v>70</v>
      </c>
      <c r="K497">
        <v>5165</v>
      </c>
      <c r="L497">
        <v>428662</v>
      </c>
      <c r="M497" t="str">
        <f t="shared" si="14"/>
        <v>Sea Port</v>
      </c>
      <c r="N497" t="str">
        <f t="shared" si="15"/>
        <v>March</v>
      </c>
    </row>
    <row r="498" spans="1:14" x14ac:dyDescent="0.3">
      <c r="A498">
        <v>4</v>
      </c>
      <c r="B498">
        <v>2019</v>
      </c>
      <c r="C498" t="s">
        <v>18</v>
      </c>
      <c r="D498">
        <v>6</v>
      </c>
      <c r="E498" t="s">
        <v>19</v>
      </c>
      <c r="F498" t="s">
        <v>251</v>
      </c>
      <c r="G498" t="s">
        <v>462</v>
      </c>
      <c r="H498" t="s">
        <v>463</v>
      </c>
      <c r="I498" t="s">
        <v>365</v>
      </c>
      <c r="J498">
        <v>2700</v>
      </c>
      <c r="K498">
        <v>20770</v>
      </c>
      <c r="L498">
        <v>1441990</v>
      </c>
      <c r="M498" t="str">
        <f t="shared" si="14"/>
        <v>ICD / Dry Port</v>
      </c>
      <c r="N498" t="str">
        <f t="shared" si="15"/>
        <v>April</v>
      </c>
    </row>
    <row r="499" spans="1:14" x14ac:dyDescent="0.3">
      <c r="A499">
        <v>10</v>
      </c>
      <c r="B499">
        <v>2021</v>
      </c>
      <c r="C499" t="s">
        <v>58</v>
      </c>
      <c r="D499">
        <v>27</v>
      </c>
      <c r="E499" t="s">
        <v>125</v>
      </c>
      <c r="F499" t="s">
        <v>551</v>
      </c>
      <c r="G499" t="s">
        <v>474</v>
      </c>
      <c r="H499" t="s">
        <v>475</v>
      </c>
      <c r="I499" t="s">
        <v>365</v>
      </c>
      <c r="J499">
        <v>300</v>
      </c>
      <c r="K499">
        <v>35580</v>
      </c>
      <c r="L499">
        <v>2665466</v>
      </c>
      <c r="M499" t="str">
        <f t="shared" si="14"/>
        <v>Air Port</v>
      </c>
      <c r="N499" t="str">
        <f t="shared" si="15"/>
        <v>October</v>
      </c>
    </row>
    <row r="500" spans="1:14" x14ac:dyDescent="0.3">
      <c r="A500">
        <v>4</v>
      </c>
      <c r="B500">
        <v>2024</v>
      </c>
      <c r="C500" t="s">
        <v>23</v>
      </c>
      <c r="D500">
        <v>24</v>
      </c>
      <c r="E500" t="s">
        <v>486</v>
      </c>
      <c r="F500" t="s">
        <v>90</v>
      </c>
      <c r="G500" t="s">
        <v>571</v>
      </c>
      <c r="H500" t="s">
        <v>572</v>
      </c>
      <c r="I500" t="s">
        <v>365</v>
      </c>
      <c r="J500">
        <v>866400</v>
      </c>
      <c r="K500">
        <v>107593</v>
      </c>
      <c r="L500">
        <v>8973924</v>
      </c>
      <c r="M500" t="str">
        <f t="shared" si="14"/>
        <v>Other</v>
      </c>
      <c r="N500" t="str">
        <f t="shared" si="15"/>
        <v>April</v>
      </c>
    </row>
    <row r="501" spans="1:14" x14ac:dyDescent="0.3">
      <c r="A501">
        <v>1</v>
      </c>
      <c r="B501">
        <v>2019</v>
      </c>
      <c r="C501" t="s">
        <v>58</v>
      </c>
      <c r="D501">
        <v>27</v>
      </c>
      <c r="E501" t="s">
        <v>387</v>
      </c>
      <c r="F501" t="s">
        <v>194</v>
      </c>
      <c r="G501" t="s">
        <v>490</v>
      </c>
      <c r="H501" t="s">
        <v>491</v>
      </c>
      <c r="I501" t="s">
        <v>365</v>
      </c>
      <c r="J501">
        <v>613000</v>
      </c>
      <c r="K501">
        <v>30747</v>
      </c>
      <c r="L501">
        <v>2174829</v>
      </c>
      <c r="M501" t="str">
        <f t="shared" si="14"/>
        <v>ICD / Dry Port</v>
      </c>
      <c r="N501" t="str">
        <f t="shared" si="15"/>
        <v>January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65765-0AF6-4305-9873-74F637ADA46D}">
  <dimension ref="A1:F69"/>
  <sheetViews>
    <sheetView tabSelected="1" workbookViewId="0">
      <selection activeCell="I7" sqref="I7"/>
    </sheetView>
  </sheetViews>
  <sheetFormatPr defaultRowHeight="14.4" x14ac:dyDescent="0.3"/>
  <cols>
    <col min="2" max="2" width="14.77734375" customWidth="1"/>
    <col min="3" max="3" width="16.6640625" customWidth="1"/>
    <col min="4" max="4" width="16" customWidth="1"/>
    <col min="5" max="5" width="13.77734375" customWidth="1"/>
    <col min="6" max="6" width="14.44140625" customWidth="1"/>
  </cols>
  <sheetData>
    <row r="1" spans="1:6" x14ac:dyDescent="0.3">
      <c r="A1" s="3" t="s">
        <v>11</v>
      </c>
      <c r="B1" s="3" t="s">
        <v>617</v>
      </c>
      <c r="C1" s="3" t="s">
        <v>618</v>
      </c>
      <c r="D1" s="3" t="s">
        <v>619</v>
      </c>
      <c r="E1" s="3" t="s">
        <v>620</v>
      </c>
      <c r="F1" s="3" t="s">
        <v>10</v>
      </c>
    </row>
    <row r="2" spans="1:6" x14ac:dyDescent="0.3">
      <c r="A2" s="4">
        <v>2022</v>
      </c>
      <c r="B2" s="4">
        <v>153273476</v>
      </c>
      <c r="C2" s="4">
        <v>24085019273</v>
      </c>
      <c r="D2" s="4">
        <v>-23931745797</v>
      </c>
      <c r="E2" s="3" t="s">
        <v>621</v>
      </c>
      <c r="F2" s="4">
        <v>12</v>
      </c>
    </row>
    <row r="3" spans="1:6" x14ac:dyDescent="0.3">
      <c r="A3" s="4">
        <v>2022</v>
      </c>
      <c r="B3" s="4">
        <v>1388682511</v>
      </c>
      <c r="C3" s="4">
        <v>24085019273</v>
      </c>
      <c r="D3" s="4">
        <v>-22696336762</v>
      </c>
      <c r="E3" s="3" t="s">
        <v>621</v>
      </c>
      <c r="F3" s="4">
        <v>10</v>
      </c>
    </row>
    <row r="4" spans="1:6" x14ac:dyDescent="0.3">
      <c r="A4" s="4">
        <v>2022</v>
      </c>
      <c r="B4" s="4">
        <v>12887158</v>
      </c>
      <c r="C4" s="4">
        <v>24085019273</v>
      </c>
      <c r="D4" s="4">
        <v>-24072132115</v>
      </c>
      <c r="E4" s="3" t="s">
        <v>621</v>
      </c>
      <c r="F4" s="4">
        <v>7</v>
      </c>
    </row>
    <row r="5" spans="1:6" x14ac:dyDescent="0.3">
      <c r="A5" s="4">
        <v>2022</v>
      </c>
      <c r="B5" s="4">
        <v>255534624</v>
      </c>
      <c r="C5" s="4">
        <v>24085019273</v>
      </c>
      <c r="D5" s="4">
        <v>-23829484649</v>
      </c>
      <c r="E5" s="3" t="s">
        <v>621</v>
      </c>
      <c r="F5" s="4">
        <v>3</v>
      </c>
    </row>
    <row r="6" spans="1:6" x14ac:dyDescent="0.3">
      <c r="A6" s="4">
        <v>2022</v>
      </c>
      <c r="B6" s="4">
        <v>208617540</v>
      </c>
      <c r="C6" s="4">
        <v>24085019273</v>
      </c>
      <c r="D6" s="4">
        <v>-23876401733</v>
      </c>
      <c r="E6" s="3" t="s">
        <v>621</v>
      </c>
      <c r="F6" s="4">
        <v>6</v>
      </c>
    </row>
    <row r="7" spans="1:6" x14ac:dyDescent="0.3">
      <c r="A7" s="4">
        <v>2022</v>
      </c>
      <c r="B7" s="4">
        <v>43135132</v>
      </c>
      <c r="C7" s="4">
        <v>24085019273</v>
      </c>
      <c r="D7" s="4">
        <v>-24041884141</v>
      </c>
      <c r="E7" s="3" t="s">
        <v>621</v>
      </c>
      <c r="F7" s="4">
        <v>9</v>
      </c>
    </row>
    <row r="8" spans="1:6" x14ac:dyDescent="0.3">
      <c r="A8" s="4">
        <v>2022</v>
      </c>
      <c r="B8" s="4">
        <v>56691484</v>
      </c>
      <c r="C8" s="4">
        <v>24085019273</v>
      </c>
      <c r="D8" s="4">
        <v>-24028327789</v>
      </c>
      <c r="E8" s="3" t="s">
        <v>621</v>
      </c>
      <c r="F8" s="4">
        <v>5</v>
      </c>
    </row>
    <row r="9" spans="1:6" x14ac:dyDescent="0.3">
      <c r="A9" s="4">
        <v>2022</v>
      </c>
      <c r="B9" s="4">
        <v>316932966</v>
      </c>
      <c r="C9" s="4">
        <v>24085019273</v>
      </c>
      <c r="D9" s="4">
        <v>-23768086307</v>
      </c>
      <c r="E9" s="3" t="s">
        <v>621</v>
      </c>
      <c r="F9" s="4">
        <v>8</v>
      </c>
    </row>
    <row r="10" spans="1:6" x14ac:dyDescent="0.3">
      <c r="A10" s="4">
        <v>2022</v>
      </c>
      <c r="B10" s="4">
        <v>53702398</v>
      </c>
      <c r="C10" s="4">
        <v>24085019273</v>
      </c>
      <c r="D10" s="4">
        <v>-24031316875</v>
      </c>
      <c r="E10" s="3" t="s">
        <v>621</v>
      </c>
      <c r="F10" s="4">
        <v>2</v>
      </c>
    </row>
    <row r="11" spans="1:6" x14ac:dyDescent="0.3">
      <c r="A11" s="4">
        <v>2022</v>
      </c>
      <c r="B11" s="4">
        <v>96174213</v>
      </c>
      <c r="C11" s="4">
        <v>24085019273</v>
      </c>
      <c r="D11" s="4">
        <v>-23988845060</v>
      </c>
      <c r="E11" s="3" t="s">
        <v>621</v>
      </c>
      <c r="F11" s="4">
        <v>4</v>
      </c>
    </row>
    <row r="12" spans="1:6" x14ac:dyDescent="0.3">
      <c r="A12" s="4">
        <v>2022</v>
      </c>
      <c r="B12" s="4">
        <v>44592024</v>
      </c>
      <c r="C12" s="4">
        <v>24085019273</v>
      </c>
      <c r="D12" s="4">
        <v>-24040427249</v>
      </c>
      <c r="E12" s="3" t="s">
        <v>621</v>
      </c>
      <c r="F12" s="4">
        <v>11</v>
      </c>
    </row>
    <row r="13" spans="1:6" x14ac:dyDescent="0.3">
      <c r="A13" s="4">
        <v>2022</v>
      </c>
      <c r="B13" s="4">
        <v>277057737</v>
      </c>
      <c r="C13" s="4">
        <v>24085019273</v>
      </c>
      <c r="D13" s="4">
        <v>-23807961536</v>
      </c>
      <c r="E13" s="3" t="s">
        <v>621</v>
      </c>
      <c r="F13" s="4">
        <v>1</v>
      </c>
    </row>
    <row r="14" spans="1:6" x14ac:dyDescent="0.3">
      <c r="A14" s="4">
        <v>2019</v>
      </c>
      <c r="B14" s="4">
        <v>206035454</v>
      </c>
      <c r="C14" s="4">
        <v>24085019273</v>
      </c>
      <c r="D14" s="4">
        <v>-23878983819</v>
      </c>
      <c r="E14" s="3" t="s">
        <v>621</v>
      </c>
      <c r="F14" s="4">
        <v>12</v>
      </c>
    </row>
    <row r="15" spans="1:6" x14ac:dyDescent="0.3">
      <c r="A15" s="4">
        <v>2019</v>
      </c>
      <c r="B15" s="4">
        <v>47378720</v>
      </c>
      <c r="C15" s="4">
        <v>24085019273</v>
      </c>
      <c r="D15" s="4">
        <v>-24037640553</v>
      </c>
      <c r="E15" s="3" t="s">
        <v>621</v>
      </c>
      <c r="F15" s="4">
        <v>10</v>
      </c>
    </row>
    <row r="16" spans="1:6" x14ac:dyDescent="0.3">
      <c r="A16" s="4">
        <v>2019</v>
      </c>
      <c r="B16" s="4">
        <v>12242343</v>
      </c>
      <c r="C16" s="4">
        <v>24085019273</v>
      </c>
      <c r="D16" s="4">
        <v>-24072776930</v>
      </c>
      <c r="E16" s="3" t="s">
        <v>621</v>
      </c>
      <c r="F16" s="4">
        <v>7</v>
      </c>
    </row>
    <row r="17" spans="1:6" x14ac:dyDescent="0.3">
      <c r="A17" s="4">
        <v>2019</v>
      </c>
      <c r="B17" s="4">
        <v>65270175</v>
      </c>
      <c r="C17" s="4">
        <v>24085019273</v>
      </c>
      <c r="D17" s="4">
        <v>-24019749098</v>
      </c>
      <c r="E17" s="3" t="s">
        <v>621</v>
      </c>
      <c r="F17" s="4">
        <v>3</v>
      </c>
    </row>
    <row r="18" spans="1:6" x14ac:dyDescent="0.3">
      <c r="A18" s="4">
        <v>2019</v>
      </c>
      <c r="B18" s="4">
        <v>39419757</v>
      </c>
      <c r="C18" s="4">
        <v>24085019273</v>
      </c>
      <c r="D18" s="4">
        <v>-24045599516</v>
      </c>
      <c r="E18" s="3" t="s">
        <v>621</v>
      </c>
      <c r="F18" s="4">
        <v>6</v>
      </c>
    </row>
    <row r="19" spans="1:6" x14ac:dyDescent="0.3">
      <c r="A19" s="4">
        <v>2019</v>
      </c>
      <c r="B19" s="4">
        <v>12730098</v>
      </c>
      <c r="C19" s="4">
        <v>24085019273</v>
      </c>
      <c r="D19" s="4">
        <v>-24072289175</v>
      </c>
      <c r="E19" s="3" t="s">
        <v>621</v>
      </c>
      <c r="F19" s="4">
        <v>9</v>
      </c>
    </row>
    <row r="20" spans="1:6" x14ac:dyDescent="0.3">
      <c r="A20" s="4">
        <v>2019</v>
      </c>
      <c r="B20" s="4">
        <v>20259942</v>
      </c>
      <c r="C20" s="4">
        <v>24085019273</v>
      </c>
      <c r="D20" s="4">
        <v>-24064759331</v>
      </c>
      <c r="E20" s="3" t="s">
        <v>621</v>
      </c>
      <c r="F20" s="4">
        <v>5</v>
      </c>
    </row>
    <row r="21" spans="1:6" x14ac:dyDescent="0.3">
      <c r="A21" s="4">
        <v>2019</v>
      </c>
      <c r="B21" s="4">
        <v>39727121</v>
      </c>
      <c r="C21" s="4">
        <v>24085019273</v>
      </c>
      <c r="D21" s="4">
        <v>-24045292152</v>
      </c>
      <c r="E21" s="3" t="s">
        <v>621</v>
      </c>
      <c r="F21" s="4">
        <v>8</v>
      </c>
    </row>
    <row r="22" spans="1:6" x14ac:dyDescent="0.3">
      <c r="A22" s="4">
        <v>2019</v>
      </c>
      <c r="B22" s="4">
        <v>17685359</v>
      </c>
      <c r="C22" s="4">
        <v>24085019273</v>
      </c>
      <c r="D22" s="4">
        <v>-24067333914</v>
      </c>
      <c r="E22" s="3" t="s">
        <v>621</v>
      </c>
      <c r="F22" s="4">
        <v>2</v>
      </c>
    </row>
    <row r="23" spans="1:6" x14ac:dyDescent="0.3">
      <c r="A23" s="4">
        <v>2019</v>
      </c>
      <c r="B23" s="4">
        <v>18215559</v>
      </c>
      <c r="C23" s="4">
        <v>24085019273</v>
      </c>
      <c r="D23" s="4">
        <v>-24066803714</v>
      </c>
      <c r="E23" s="3" t="s">
        <v>621</v>
      </c>
      <c r="F23" s="4">
        <v>4</v>
      </c>
    </row>
    <row r="24" spans="1:6" x14ac:dyDescent="0.3">
      <c r="A24" s="4">
        <v>2019</v>
      </c>
      <c r="B24" s="4">
        <v>34991178</v>
      </c>
      <c r="C24" s="4">
        <v>24085019273</v>
      </c>
      <c r="D24" s="4">
        <v>-24050028095</v>
      </c>
      <c r="E24" s="3" t="s">
        <v>621</v>
      </c>
      <c r="F24" s="4">
        <v>11</v>
      </c>
    </row>
    <row r="25" spans="1:6" x14ac:dyDescent="0.3">
      <c r="A25" s="4">
        <v>2019</v>
      </c>
      <c r="B25" s="4">
        <v>35406102</v>
      </c>
      <c r="C25" s="4">
        <v>24085019273</v>
      </c>
      <c r="D25" s="4">
        <v>-24049613171</v>
      </c>
      <c r="E25" s="3" t="s">
        <v>621</v>
      </c>
      <c r="F25" s="4">
        <v>1</v>
      </c>
    </row>
    <row r="26" spans="1:6" x14ac:dyDescent="0.3">
      <c r="A26" s="4">
        <v>2023</v>
      </c>
      <c r="B26" s="4">
        <v>167117661</v>
      </c>
      <c r="C26" s="4">
        <v>24085019273</v>
      </c>
      <c r="D26" s="4">
        <v>-23917901612</v>
      </c>
      <c r="E26" s="3" t="s">
        <v>621</v>
      </c>
      <c r="F26" s="4">
        <v>7</v>
      </c>
    </row>
    <row r="27" spans="1:6" x14ac:dyDescent="0.3">
      <c r="A27" s="4">
        <v>2023</v>
      </c>
      <c r="B27" s="4">
        <v>195583636</v>
      </c>
      <c r="C27" s="4">
        <v>24085019273</v>
      </c>
      <c r="D27" s="4">
        <v>-23889435637</v>
      </c>
      <c r="E27" s="3" t="s">
        <v>621</v>
      </c>
      <c r="F27" s="4">
        <v>3</v>
      </c>
    </row>
    <row r="28" spans="1:6" x14ac:dyDescent="0.3">
      <c r="A28" s="4">
        <v>2023</v>
      </c>
      <c r="B28" s="4">
        <v>5227521910</v>
      </c>
      <c r="C28" s="4">
        <v>24085019273</v>
      </c>
      <c r="D28" s="4">
        <v>-18857497363</v>
      </c>
      <c r="E28" s="3" t="s">
        <v>621</v>
      </c>
      <c r="F28" s="4">
        <v>6</v>
      </c>
    </row>
    <row r="29" spans="1:6" x14ac:dyDescent="0.3">
      <c r="A29" s="4">
        <v>2023</v>
      </c>
      <c r="B29" s="4">
        <v>71929299</v>
      </c>
      <c r="C29" s="4">
        <v>24085019273</v>
      </c>
      <c r="D29" s="4">
        <v>-24013089974</v>
      </c>
      <c r="E29" s="3" t="s">
        <v>621</v>
      </c>
      <c r="F29" s="4">
        <v>5</v>
      </c>
    </row>
    <row r="30" spans="1:6" x14ac:dyDescent="0.3">
      <c r="A30" s="4">
        <v>2023</v>
      </c>
      <c r="B30" s="4">
        <v>57647362</v>
      </c>
      <c r="C30" s="4">
        <v>24085019273</v>
      </c>
      <c r="D30" s="4">
        <v>-24027371911</v>
      </c>
      <c r="E30" s="3" t="s">
        <v>621</v>
      </c>
      <c r="F30" s="4">
        <v>8</v>
      </c>
    </row>
    <row r="31" spans="1:6" x14ac:dyDescent="0.3">
      <c r="A31" s="4">
        <v>2023</v>
      </c>
      <c r="B31" s="4">
        <v>23840203</v>
      </c>
      <c r="C31" s="4">
        <v>24085019273</v>
      </c>
      <c r="D31" s="4">
        <v>-24061179070</v>
      </c>
      <c r="E31" s="3" t="s">
        <v>621</v>
      </c>
      <c r="F31" s="4">
        <v>2</v>
      </c>
    </row>
    <row r="32" spans="1:6" x14ac:dyDescent="0.3">
      <c r="A32" s="4">
        <v>2023</v>
      </c>
      <c r="B32" s="4">
        <v>205035944</v>
      </c>
      <c r="C32" s="4">
        <v>24085019273</v>
      </c>
      <c r="D32" s="4">
        <v>-23879983329</v>
      </c>
      <c r="E32" s="3" t="s">
        <v>621</v>
      </c>
      <c r="F32" s="4">
        <v>4</v>
      </c>
    </row>
    <row r="33" spans="1:6" x14ac:dyDescent="0.3">
      <c r="A33" s="4">
        <v>2023</v>
      </c>
      <c r="B33" s="4">
        <v>42588062</v>
      </c>
      <c r="C33" s="4">
        <v>24085019273</v>
      </c>
      <c r="D33" s="4">
        <v>-24042431211</v>
      </c>
      <c r="E33" s="3" t="s">
        <v>621</v>
      </c>
      <c r="F33" s="4">
        <v>1</v>
      </c>
    </row>
    <row r="34" spans="1:6" x14ac:dyDescent="0.3">
      <c r="A34" s="4">
        <v>2021</v>
      </c>
      <c r="B34" s="4">
        <v>3856926</v>
      </c>
      <c r="C34" s="4">
        <v>24085019273</v>
      </c>
      <c r="D34" s="4">
        <v>-24081162347</v>
      </c>
      <c r="E34" s="3" t="s">
        <v>621</v>
      </c>
      <c r="F34" s="4">
        <v>12</v>
      </c>
    </row>
    <row r="35" spans="1:6" x14ac:dyDescent="0.3">
      <c r="A35" s="4">
        <v>2021</v>
      </c>
      <c r="B35" s="4">
        <v>63394478</v>
      </c>
      <c r="C35" s="4">
        <v>24085019273</v>
      </c>
      <c r="D35" s="4">
        <v>-24021624795</v>
      </c>
      <c r="E35" s="3" t="s">
        <v>621</v>
      </c>
      <c r="F35" s="4">
        <v>10</v>
      </c>
    </row>
    <row r="36" spans="1:6" x14ac:dyDescent="0.3">
      <c r="A36" s="4">
        <v>2021</v>
      </c>
      <c r="B36" s="4">
        <v>5098672</v>
      </c>
      <c r="C36" s="4">
        <v>24085019273</v>
      </c>
      <c r="D36" s="4">
        <v>-24079920601</v>
      </c>
      <c r="E36" s="3" t="s">
        <v>621</v>
      </c>
      <c r="F36" s="4">
        <v>7</v>
      </c>
    </row>
    <row r="37" spans="1:6" x14ac:dyDescent="0.3">
      <c r="A37" s="4">
        <v>2021</v>
      </c>
      <c r="B37" s="4">
        <v>45080425</v>
      </c>
      <c r="C37" s="4">
        <v>24085019273</v>
      </c>
      <c r="D37" s="4">
        <v>-24039938848</v>
      </c>
      <c r="E37" s="3" t="s">
        <v>621</v>
      </c>
      <c r="F37" s="4">
        <v>3</v>
      </c>
    </row>
    <row r="38" spans="1:6" x14ac:dyDescent="0.3">
      <c r="A38" s="4">
        <v>2021</v>
      </c>
      <c r="B38" s="4">
        <v>5045308495</v>
      </c>
      <c r="C38" s="4">
        <v>24085019273</v>
      </c>
      <c r="D38" s="4">
        <v>-19039710778</v>
      </c>
      <c r="E38" s="3" t="s">
        <v>621</v>
      </c>
      <c r="F38" s="4">
        <v>6</v>
      </c>
    </row>
    <row r="39" spans="1:6" x14ac:dyDescent="0.3">
      <c r="A39" s="4">
        <v>2021</v>
      </c>
      <c r="B39" s="4">
        <v>475801909</v>
      </c>
      <c r="C39" s="4">
        <v>24085019273</v>
      </c>
      <c r="D39" s="4">
        <v>-23609217364</v>
      </c>
      <c r="E39" s="3" t="s">
        <v>621</v>
      </c>
      <c r="F39" s="4">
        <v>9</v>
      </c>
    </row>
    <row r="40" spans="1:6" x14ac:dyDescent="0.3">
      <c r="A40" s="4">
        <v>2021</v>
      </c>
      <c r="B40" s="4">
        <v>280386440</v>
      </c>
      <c r="C40" s="4">
        <v>24085019273</v>
      </c>
      <c r="D40" s="4">
        <v>-23804632833</v>
      </c>
      <c r="E40" s="3" t="s">
        <v>621</v>
      </c>
      <c r="F40" s="4">
        <v>5</v>
      </c>
    </row>
    <row r="41" spans="1:6" x14ac:dyDescent="0.3">
      <c r="A41" s="4">
        <v>2021</v>
      </c>
      <c r="B41" s="4">
        <v>60415006</v>
      </c>
      <c r="C41" s="4">
        <v>24085019273</v>
      </c>
      <c r="D41" s="4">
        <v>-24024604267</v>
      </c>
      <c r="E41" s="3" t="s">
        <v>621</v>
      </c>
      <c r="F41" s="4">
        <v>8</v>
      </c>
    </row>
    <row r="42" spans="1:6" x14ac:dyDescent="0.3">
      <c r="A42" s="4">
        <v>2021</v>
      </c>
      <c r="B42" s="4">
        <v>191974368</v>
      </c>
      <c r="C42" s="4">
        <v>24085019273</v>
      </c>
      <c r="D42" s="4">
        <v>-23893044905</v>
      </c>
      <c r="E42" s="3" t="s">
        <v>621</v>
      </c>
      <c r="F42" s="4">
        <v>2</v>
      </c>
    </row>
    <row r="43" spans="1:6" x14ac:dyDescent="0.3">
      <c r="A43" s="4">
        <v>2021</v>
      </c>
      <c r="B43" s="4">
        <v>99227537</v>
      </c>
      <c r="C43" s="4">
        <v>24085019273</v>
      </c>
      <c r="D43" s="4">
        <v>-23985791736</v>
      </c>
      <c r="E43" s="3" t="s">
        <v>621</v>
      </c>
      <c r="F43" s="4">
        <v>4</v>
      </c>
    </row>
    <row r="44" spans="1:6" x14ac:dyDescent="0.3">
      <c r="A44" s="4">
        <v>2021</v>
      </c>
      <c r="B44" s="4">
        <v>47079953</v>
      </c>
      <c r="C44" s="4">
        <v>24085019273</v>
      </c>
      <c r="D44" s="4">
        <v>-24037939320</v>
      </c>
      <c r="E44" s="3" t="s">
        <v>621</v>
      </c>
      <c r="F44" s="4">
        <v>11</v>
      </c>
    </row>
    <row r="45" spans="1:6" x14ac:dyDescent="0.3">
      <c r="A45" s="4">
        <v>2021</v>
      </c>
      <c r="B45" s="4">
        <v>53706962</v>
      </c>
      <c r="C45" s="4">
        <v>24085019273</v>
      </c>
      <c r="D45" s="4">
        <v>-24031312311</v>
      </c>
      <c r="E45" s="3" t="s">
        <v>621</v>
      </c>
      <c r="F45" s="4">
        <v>1</v>
      </c>
    </row>
    <row r="46" spans="1:6" x14ac:dyDescent="0.3">
      <c r="A46" s="4">
        <v>2018</v>
      </c>
      <c r="B46" s="4">
        <v>5363255</v>
      </c>
      <c r="C46" s="4">
        <v>24085019273</v>
      </c>
      <c r="D46" s="4">
        <v>-24079656018</v>
      </c>
      <c r="E46" s="3" t="s">
        <v>621</v>
      </c>
      <c r="F46" s="4">
        <v>12</v>
      </c>
    </row>
    <row r="47" spans="1:6" x14ac:dyDescent="0.3">
      <c r="A47" s="4">
        <v>2018</v>
      </c>
      <c r="B47" s="4">
        <v>94096298</v>
      </c>
      <c r="C47" s="4">
        <v>24085019273</v>
      </c>
      <c r="D47" s="4">
        <v>-23990922975</v>
      </c>
      <c r="E47" s="3" t="s">
        <v>621</v>
      </c>
      <c r="F47" s="4">
        <v>10</v>
      </c>
    </row>
    <row r="48" spans="1:6" x14ac:dyDescent="0.3">
      <c r="A48" s="4">
        <v>2018</v>
      </c>
      <c r="B48" s="4">
        <v>21889167</v>
      </c>
      <c r="C48" s="4">
        <v>24085019273</v>
      </c>
      <c r="D48" s="4">
        <v>-24063130106</v>
      </c>
      <c r="E48" s="3" t="s">
        <v>621</v>
      </c>
      <c r="F48" s="4">
        <v>7</v>
      </c>
    </row>
    <row r="49" spans="1:6" x14ac:dyDescent="0.3">
      <c r="A49" s="4">
        <v>2018</v>
      </c>
      <c r="B49" s="4">
        <v>437657298</v>
      </c>
      <c r="C49" s="4">
        <v>24085019273</v>
      </c>
      <c r="D49" s="4">
        <v>-23647361975</v>
      </c>
      <c r="E49" s="3" t="s">
        <v>621</v>
      </c>
      <c r="F49" s="4">
        <v>3</v>
      </c>
    </row>
    <row r="50" spans="1:6" x14ac:dyDescent="0.3">
      <c r="A50" s="4">
        <v>2018</v>
      </c>
      <c r="B50" s="4">
        <v>81715360</v>
      </c>
      <c r="C50" s="4">
        <v>24085019273</v>
      </c>
      <c r="D50" s="4">
        <v>-24003303913</v>
      </c>
      <c r="E50" s="3" t="s">
        <v>621</v>
      </c>
      <c r="F50" s="4">
        <v>6</v>
      </c>
    </row>
    <row r="51" spans="1:6" x14ac:dyDescent="0.3">
      <c r="A51" s="4">
        <v>2018</v>
      </c>
      <c r="B51" s="4">
        <v>31604782</v>
      </c>
      <c r="C51" s="4">
        <v>24085019273</v>
      </c>
      <c r="D51" s="4">
        <v>-24053414491</v>
      </c>
      <c r="E51" s="3" t="s">
        <v>621</v>
      </c>
      <c r="F51" s="4">
        <v>9</v>
      </c>
    </row>
    <row r="52" spans="1:6" x14ac:dyDescent="0.3">
      <c r="A52" s="4">
        <v>2018</v>
      </c>
      <c r="B52" s="4">
        <v>17202805</v>
      </c>
      <c r="C52" s="4">
        <v>24085019273</v>
      </c>
      <c r="D52" s="4">
        <v>-24067816468</v>
      </c>
      <c r="E52" s="3" t="s">
        <v>621</v>
      </c>
      <c r="F52" s="4">
        <v>5</v>
      </c>
    </row>
    <row r="53" spans="1:6" x14ac:dyDescent="0.3">
      <c r="A53" s="4">
        <v>2018</v>
      </c>
      <c r="B53" s="4">
        <v>352002128</v>
      </c>
      <c r="C53" s="4">
        <v>24085019273</v>
      </c>
      <c r="D53" s="4">
        <v>-23733017145</v>
      </c>
      <c r="E53" s="3" t="s">
        <v>621</v>
      </c>
      <c r="F53" s="4">
        <v>8</v>
      </c>
    </row>
    <row r="54" spans="1:6" x14ac:dyDescent="0.3">
      <c r="A54" s="4">
        <v>2018</v>
      </c>
      <c r="B54" s="4">
        <v>15213873</v>
      </c>
      <c r="C54" s="4">
        <v>24085019273</v>
      </c>
      <c r="D54" s="4">
        <v>-24069805400</v>
      </c>
      <c r="E54" s="3" t="s">
        <v>621</v>
      </c>
      <c r="F54" s="4">
        <v>2</v>
      </c>
    </row>
    <row r="55" spans="1:6" x14ac:dyDescent="0.3">
      <c r="A55" s="4">
        <v>2018</v>
      </c>
      <c r="B55" s="4">
        <v>1068388</v>
      </c>
      <c r="C55" s="4">
        <v>24085019273</v>
      </c>
      <c r="D55" s="4">
        <v>-24083950885</v>
      </c>
      <c r="E55" s="3" t="s">
        <v>621</v>
      </c>
      <c r="F55" s="4">
        <v>4</v>
      </c>
    </row>
    <row r="56" spans="1:6" x14ac:dyDescent="0.3">
      <c r="A56" s="4">
        <v>2018</v>
      </c>
      <c r="B56" s="4">
        <v>213129040</v>
      </c>
      <c r="C56" s="4">
        <v>24085019273</v>
      </c>
      <c r="D56" s="4">
        <v>-23871890233</v>
      </c>
      <c r="E56" s="3" t="s">
        <v>621</v>
      </c>
      <c r="F56" s="4">
        <v>11</v>
      </c>
    </row>
    <row r="57" spans="1:6" x14ac:dyDescent="0.3">
      <c r="A57" s="4">
        <v>2018</v>
      </c>
      <c r="B57" s="4">
        <v>27667113</v>
      </c>
      <c r="C57" s="4">
        <v>24085019273</v>
      </c>
      <c r="D57" s="4">
        <v>-24057352160</v>
      </c>
      <c r="E57" s="3" t="s">
        <v>621</v>
      </c>
      <c r="F57" s="4">
        <v>1</v>
      </c>
    </row>
    <row r="58" spans="1:6" x14ac:dyDescent="0.3">
      <c r="A58" s="4">
        <v>2020</v>
      </c>
      <c r="B58" s="4">
        <v>97268747</v>
      </c>
      <c r="C58" s="4">
        <v>24085019273</v>
      </c>
      <c r="D58" s="4">
        <v>-23987750526</v>
      </c>
      <c r="E58" s="3" t="s">
        <v>621</v>
      </c>
      <c r="F58" s="4">
        <v>12</v>
      </c>
    </row>
    <row r="59" spans="1:6" x14ac:dyDescent="0.3">
      <c r="A59" s="4">
        <v>2020</v>
      </c>
      <c r="B59" s="4">
        <v>172766930</v>
      </c>
      <c r="C59" s="4">
        <v>24085019273</v>
      </c>
      <c r="D59" s="4">
        <v>-23912252343</v>
      </c>
      <c r="E59" s="3" t="s">
        <v>621</v>
      </c>
      <c r="F59" s="4">
        <v>10</v>
      </c>
    </row>
    <row r="60" spans="1:6" x14ac:dyDescent="0.3">
      <c r="A60" s="4">
        <v>2020</v>
      </c>
      <c r="B60" s="4">
        <v>3287177</v>
      </c>
      <c r="C60" s="4">
        <v>24085019273</v>
      </c>
      <c r="D60" s="4">
        <v>-24081732096</v>
      </c>
      <c r="E60" s="3" t="s">
        <v>621</v>
      </c>
      <c r="F60" s="4">
        <v>7</v>
      </c>
    </row>
    <row r="61" spans="1:6" x14ac:dyDescent="0.3">
      <c r="A61" s="4">
        <v>2020</v>
      </c>
      <c r="B61" s="4">
        <v>507844864</v>
      </c>
      <c r="C61" s="4">
        <v>24085019273</v>
      </c>
      <c r="D61" s="4">
        <v>-23577174409</v>
      </c>
      <c r="E61" s="3" t="s">
        <v>621</v>
      </c>
      <c r="F61" s="4">
        <v>3</v>
      </c>
    </row>
    <row r="62" spans="1:6" x14ac:dyDescent="0.3">
      <c r="A62" s="4">
        <v>2020</v>
      </c>
      <c r="B62" s="4">
        <v>106158628</v>
      </c>
      <c r="C62" s="4">
        <v>24085019273</v>
      </c>
      <c r="D62" s="4">
        <v>-23978860645</v>
      </c>
      <c r="E62" s="3" t="s">
        <v>621</v>
      </c>
      <c r="F62" s="4">
        <v>6</v>
      </c>
    </row>
    <row r="63" spans="1:6" x14ac:dyDescent="0.3">
      <c r="A63" s="4">
        <v>2020</v>
      </c>
      <c r="B63" s="4">
        <v>23069061</v>
      </c>
      <c r="C63" s="4">
        <v>24085019273</v>
      </c>
      <c r="D63" s="4">
        <v>-24061950212</v>
      </c>
      <c r="E63" s="3" t="s">
        <v>621</v>
      </c>
      <c r="F63" s="4">
        <v>9</v>
      </c>
    </row>
    <row r="64" spans="1:6" x14ac:dyDescent="0.3">
      <c r="A64" s="4">
        <v>2020</v>
      </c>
      <c r="B64" s="4">
        <v>282282292</v>
      </c>
      <c r="C64" s="4">
        <v>24085019273</v>
      </c>
      <c r="D64" s="4">
        <v>-23802736981</v>
      </c>
      <c r="E64" s="3" t="s">
        <v>621</v>
      </c>
      <c r="F64" s="4">
        <v>5</v>
      </c>
    </row>
    <row r="65" spans="1:6" x14ac:dyDescent="0.3">
      <c r="A65" s="4">
        <v>2020</v>
      </c>
      <c r="B65" s="4">
        <v>5194524</v>
      </c>
      <c r="C65" s="4">
        <v>24085019273</v>
      </c>
      <c r="D65" s="4">
        <v>-24079824749</v>
      </c>
      <c r="E65" s="3" t="s">
        <v>621</v>
      </c>
      <c r="F65" s="4">
        <v>8</v>
      </c>
    </row>
    <row r="66" spans="1:6" x14ac:dyDescent="0.3">
      <c r="A66" s="4">
        <v>2020</v>
      </c>
      <c r="B66" s="4">
        <v>106086415</v>
      </c>
      <c r="C66" s="4">
        <v>24085019273</v>
      </c>
      <c r="D66" s="4">
        <v>-23978932858</v>
      </c>
      <c r="E66" s="3" t="s">
        <v>621</v>
      </c>
      <c r="F66" s="4">
        <v>2</v>
      </c>
    </row>
    <row r="67" spans="1:6" x14ac:dyDescent="0.3">
      <c r="A67" s="4">
        <v>2020</v>
      </c>
      <c r="B67" s="4">
        <v>18137965</v>
      </c>
      <c r="C67" s="4">
        <v>24085019273</v>
      </c>
      <c r="D67" s="4">
        <v>-24066881308</v>
      </c>
      <c r="E67" s="3" t="s">
        <v>621</v>
      </c>
      <c r="F67" s="4">
        <v>4</v>
      </c>
    </row>
    <row r="68" spans="1:6" x14ac:dyDescent="0.3">
      <c r="A68" s="4">
        <v>2020</v>
      </c>
      <c r="B68" s="4">
        <v>1832450196</v>
      </c>
      <c r="C68" s="4">
        <v>24085019273</v>
      </c>
      <c r="D68" s="4">
        <v>-22252569077</v>
      </c>
      <c r="E68" s="3" t="s">
        <v>621</v>
      </c>
      <c r="F68" s="4">
        <v>11</v>
      </c>
    </row>
    <row r="69" spans="1:6" x14ac:dyDescent="0.3">
      <c r="A69" s="4">
        <v>2020</v>
      </c>
      <c r="B69" s="4">
        <v>87298118</v>
      </c>
      <c r="C69" s="4">
        <v>24085019273</v>
      </c>
      <c r="D69" s="4">
        <v>-23997721155</v>
      </c>
      <c r="E69" s="3" t="s">
        <v>621</v>
      </c>
      <c r="F69" s="4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18AD9C-4793-43B8-B38F-7F7B041F60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EXPORT</vt:lpstr>
      <vt:lpstr>IMPORT</vt:lpstr>
      <vt:lpstr>EXPORT PQ</vt:lpstr>
      <vt:lpstr>IMPORT PQ</vt:lpstr>
      <vt:lpstr>TRADE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SENTHIL KUMAR</cp:lastModifiedBy>
  <dcterms:created xsi:type="dcterms:W3CDTF">2025-10-29T10:05:00Z</dcterms:created>
  <dcterms:modified xsi:type="dcterms:W3CDTF">2025-11-05T11:17:13Z</dcterms:modified>
</cp:coreProperties>
</file>